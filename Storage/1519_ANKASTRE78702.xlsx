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customProperty2.bin" ContentType="application/vnd.openxmlformats-officedocument.spreadsheetml.customProperty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filterPrivacy="1"/>
  <xr:revisionPtr revIDLastSave="0" documentId="13_ncr:1_{7AB79D7B-C95A-4448-96A0-3C23069809C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ANKASTRE TEKLİ PRK FİYATLAR" sheetId="1" r:id="rId1"/>
    <sheet name="arçelik set" sheetId="2" r:id="rId2"/>
  </sheets>
  <definedNames>
    <definedName name="_xlnm._FilterDatabase" localSheetId="1" hidden="1">'arçelik set'!$A$1:$I$112</definedName>
    <definedName name="EV__LASTREFTIME__" hidden="1">41136.3916319444</definedName>
    <definedName name="_xlnm.Print_Area" localSheetId="0">'ANKASTRE TEKLİ PRK FİYATLAR'!$A$1:$N$162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P25" i="1" l="1"/>
  <c r="Q25" i="1"/>
  <c r="R25" i="1"/>
  <c r="S25" i="1"/>
  <c r="P26" i="1"/>
  <c r="Q26" i="1"/>
  <c r="R26" i="1"/>
  <c r="S26" i="1"/>
  <c r="P27" i="1"/>
  <c r="Q27" i="1"/>
  <c r="R27" i="1"/>
  <c r="S27" i="1"/>
  <c r="P28" i="1"/>
  <c r="Q28" i="1"/>
  <c r="R28" i="1"/>
  <c r="S28" i="1"/>
  <c r="P29" i="1"/>
  <c r="Q29" i="1"/>
  <c r="R29" i="1"/>
  <c r="S29" i="1"/>
  <c r="P31" i="1"/>
  <c r="Q31" i="1"/>
  <c r="R31" i="1"/>
  <c r="S31" i="1"/>
  <c r="P32" i="1"/>
  <c r="Q32" i="1"/>
  <c r="R32" i="1"/>
  <c r="S32" i="1"/>
  <c r="P33" i="1"/>
  <c r="Q33" i="1"/>
  <c r="R33" i="1"/>
  <c r="S33" i="1"/>
  <c r="S20" i="1"/>
  <c r="R20" i="1"/>
  <c r="Q20" i="1"/>
  <c r="P20" i="1"/>
  <c r="S19" i="1"/>
  <c r="R19" i="1"/>
  <c r="Q19" i="1"/>
  <c r="P19" i="1"/>
  <c r="S18" i="1"/>
  <c r="R18" i="1"/>
  <c r="Q18" i="1"/>
  <c r="P18" i="1"/>
  <c r="S24" i="1"/>
  <c r="R24" i="1"/>
  <c r="Q24" i="1"/>
  <c r="P24" i="1"/>
  <c r="S15" i="1"/>
  <c r="R15" i="1"/>
  <c r="Q15" i="1"/>
  <c r="P15" i="1"/>
  <c r="S14" i="1"/>
  <c r="R14" i="1"/>
  <c r="Q14" i="1"/>
  <c r="P14" i="1"/>
  <c r="S13" i="1"/>
  <c r="R13" i="1"/>
  <c r="Q13" i="1"/>
  <c r="P13" i="1"/>
  <c r="S12" i="1"/>
  <c r="R12" i="1"/>
  <c r="Q12" i="1"/>
  <c r="P12" i="1"/>
  <c r="S11" i="1"/>
  <c r="R11" i="1"/>
  <c r="Q11" i="1"/>
  <c r="P11" i="1"/>
  <c r="S7" i="1"/>
  <c r="R7" i="1"/>
  <c r="Q7" i="1"/>
  <c r="P7" i="1"/>
  <c r="S6" i="1"/>
  <c r="R6" i="1"/>
  <c r="Q6" i="1"/>
  <c r="P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Yazar</author>
  </authors>
  <commentList>
    <comment ref="A164" authorId="0" shapeId="0" xr:uid="{47A7BDFD-CC5E-443F-B5CD-DF450C8D9AEE}">
      <text>
        <r>
          <rPr>
            <b/>
            <sz val="9"/>
            <color indexed="81"/>
            <rFont val="Tahoma"/>
            <family val="2"/>
            <charset val="162"/>
          </rPr>
          <t>Yazar:</t>
        </r>
        <r>
          <rPr>
            <sz val="9"/>
            <color indexed="81"/>
            <rFont val="Tahoma"/>
            <family val="2"/>
            <charset val="162"/>
          </rPr>
          <t xml:space="preserve">
Demode oldu</t>
        </r>
      </text>
    </comment>
    <comment ref="A167" authorId="0" shapeId="0" xr:uid="{91673459-D3F5-42FA-B6A3-2274EEC9D5A0}">
      <text>
        <r>
          <rPr>
            <b/>
            <sz val="9"/>
            <color indexed="81"/>
            <rFont val="Tahoma"/>
            <family val="2"/>
            <charset val="162"/>
          </rPr>
          <t>Yazar:</t>
        </r>
        <r>
          <rPr>
            <sz val="9"/>
            <color indexed="81"/>
            <rFont val="Tahoma"/>
            <family val="2"/>
            <charset val="162"/>
          </rPr>
          <t xml:space="preserve">
Yeni muadiller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Yazar</author>
  </authors>
  <commentList>
    <comment ref="G14" authorId="0" shapeId="0" xr:uid="{BA5E435D-BF6A-4F30-BF23-B5FCB44E255D}">
      <text>
        <r>
          <rPr>
            <b/>
            <sz val="9"/>
            <color indexed="81"/>
            <rFont val="Tahoma"/>
            <family val="2"/>
            <charset val="162"/>
          </rPr>
          <t>Yazar:</t>
        </r>
        <r>
          <rPr>
            <sz val="9"/>
            <color indexed="81"/>
            <rFont val="Tahoma"/>
            <family val="2"/>
            <charset val="162"/>
          </rPr>
          <t xml:space="preserve">
OI 6024 S yerine ekledim</t>
        </r>
      </text>
    </comment>
    <comment ref="G148" authorId="0" shapeId="0" xr:uid="{FF4C5AB4-94B4-473C-905C-5E071321F4FC}">
      <text>
        <r>
          <rPr>
            <b/>
            <sz val="9"/>
            <color indexed="81"/>
            <rFont val="Tahoma"/>
            <family val="2"/>
            <charset val="162"/>
          </rPr>
          <t>Yazar:</t>
        </r>
        <r>
          <rPr>
            <sz val="9"/>
            <color indexed="81"/>
            <rFont val="Tahoma"/>
            <family val="2"/>
            <charset val="162"/>
          </rPr>
          <t xml:space="preserve">
OI 6024 S yerine ekledim</t>
        </r>
      </text>
    </comment>
  </commentList>
</comments>
</file>

<file path=xl/sharedStrings.xml><?xml version="1.0" encoding="utf-8"?>
<sst xmlns="http://schemas.openxmlformats.org/spreadsheetml/2006/main" count="864" uniqueCount="403">
  <si>
    <t>PEŞİNAT</t>
  </si>
  <si>
    <t>4 TAKSİT</t>
  </si>
  <si>
    <t>TOPLAM FİYAT</t>
  </si>
  <si>
    <t>8 TAKSİT</t>
  </si>
  <si>
    <t>ÜRÜN KODU</t>
  </si>
  <si>
    <t>ANKASTRE FIRINLAR</t>
  </si>
  <si>
    <t>AÇIKLAMA</t>
  </si>
  <si>
    <t>*A</t>
  </si>
  <si>
    <t>ÜRÜN TANIMI</t>
  </si>
  <si>
    <t>ENERJİ SINIFI</t>
  </si>
  <si>
    <t>OCD T 651 ES</t>
  </si>
  <si>
    <t>OCD T 651 EG</t>
  </si>
  <si>
    <t>OCD T 651 EB</t>
  </si>
  <si>
    <t>OCD T 651 DWG</t>
  </si>
  <si>
    <t>OCD T 651 DWB</t>
  </si>
  <si>
    <t>OMD D 611 EI</t>
  </si>
  <si>
    <t>OMD D 611 EB</t>
  </si>
  <si>
    <t>OMD D 611 ES</t>
  </si>
  <si>
    <t>P 27 YB</t>
  </si>
  <si>
    <t>P 27 YS</t>
  </si>
  <si>
    <t>OV 6024 B</t>
  </si>
  <si>
    <t>OV 647 TSI</t>
  </si>
  <si>
    <t>OXD T 602 ES</t>
  </si>
  <si>
    <t>OMD D 611 DWI</t>
  </si>
  <si>
    <t>60 CM EĞİMLİ DAVLUMBAZLAR</t>
  </si>
  <si>
    <t>90 CM EĞİMLİ DAVLUMBAZLAR</t>
  </si>
  <si>
    <t>60 CM DUVAR TİPİ PİRAMİT DAVLUMBAZLAR</t>
  </si>
  <si>
    <t>110 CM DUVAR TİPİ PİRAMİT DAVLUMBAZLAR</t>
  </si>
  <si>
    <t>60 CM DUVAR T TİPİ DAVLUMBAZLAR</t>
  </si>
  <si>
    <t>90 CM DUVAR T TİPİ DAVLUMBAZLAR</t>
  </si>
  <si>
    <t>ADA TİPİ DAVLUMBAZLAR</t>
  </si>
  <si>
    <t>ANKASTRE SÜRGÜLÜ ASPİRATÖRLER</t>
  </si>
  <si>
    <t>ANKASTRE GÖMME ASPİRATÖRLER</t>
  </si>
  <si>
    <t>60 cm /15 Sıcaklık Ayarı/10 Gözü(2'si Esnek)İndüksiyonlu/Siyah Cam ocak/WIFI</t>
  </si>
  <si>
    <t>60 cm/4 Gözü Vitroseramik/Siyah Camlı/Inox Çerçeveli Ocak</t>
  </si>
  <si>
    <t>90 cm/4 Gözü Gazlı + 1 Gözü Woklu/Döküm Tencere Izgaralı/Siyah Cam Ocak</t>
  </si>
  <si>
    <t>30 cm/2 Gözü Vitroseramik/Siyah Cam Ocak</t>
  </si>
  <si>
    <t>30 cm/2 Gözü Gazlı/İnoks Ocak</t>
  </si>
  <si>
    <t>OMD D 752 DWI</t>
  </si>
  <si>
    <t>ADE 606-2 G</t>
  </si>
  <si>
    <t>OI 90213 S</t>
  </si>
  <si>
    <t>65 cm/4 Gözü Gazlı/Parlak Emaye Tencere Izgaralı/Nano kaplama Expert Clean Beyaz Cam Ocak</t>
  </si>
  <si>
    <t>65 cm/3 Gözü Gazlı + 1 Gözü Vikroseramik/Nano Kaplama Expert Clean Siyah Cam Ocak</t>
  </si>
  <si>
    <t>61 cm/3 gözü gazlı + 1 gözü Woklu / Nano kaplama Expert Clean / Döküm ızgara / Inox</t>
  </si>
  <si>
    <t>65 cm/4 Gözü Gazlı/Parlak Emaye Tencere Izgaralı/Nano kaplama Expert Clean Gri Cam Ocak</t>
  </si>
  <si>
    <t>60 cm/4 Gözü Vitroseramik/Beyaz Cam Ocak</t>
  </si>
  <si>
    <t>65 cm/4 Gözü Gazlı /Kare Izgaralı/ Nano kaplama Expert Clean Siyah Cam Ocak</t>
  </si>
  <si>
    <t>65 cm/34 Gözü Gazlı /Kare Izgaralı/ Nano kaplama Expert Clean Gri Cam Ocak</t>
  </si>
  <si>
    <t>65 cm/4 Gözü Gazlı / Kare Izgaralı/Nano kaplama Expert Clean Beyaz Cam Ocak</t>
  </si>
  <si>
    <t>65 cm/3 Gözü Gazlı + 1 Gözü Woklu/Döküm Tencere Izgaralı/Expert Clean Gri Cam Ocak</t>
  </si>
  <si>
    <t>65 cm/3 Gözü Gazlı + 1 Gözü Woklu/Döküm Tencere Izgaralı/Expert Clean Beyaz Cam Ocak</t>
  </si>
  <si>
    <t>*A+</t>
  </si>
  <si>
    <t xml:space="preserve">OV 302 S </t>
  </si>
  <si>
    <t xml:space="preserve">OMD D 302 DI </t>
  </si>
  <si>
    <t xml:space="preserve">DOI 602 S </t>
  </si>
  <si>
    <t>60 cm/ Entegre davlumbazlı ocak/ İndüksiyonlu/ Siyah</t>
  </si>
  <si>
    <t>DOI 802 S</t>
  </si>
  <si>
    <t>80 cm/ Entegre davlumbazlı ocak/ İndüksiyonlu/ Siyah</t>
  </si>
  <si>
    <t>OCD T 601-1 ES</t>
  </si>
  <si>
    <t>OCD K 651 ES</t>
  </si>
  <si>
    <t>60 cm/4 Gözü Gazlı/Parlak Emaye Tencere Izgaralı/Siyah Cam Ocak</t>
  </si>
  <si>
    <t>OCD T 601-1 EG</t>
  </si>
  <si>
    <t>60 cm/4 Gözü Gazlı/Parlak Emaye Tencere Izgaralı/Gri Cam Ocak</t>
  </si>
  <si>
    <t>OCD K 651 DWYB</t>
  </si>
  <si>
    <t>65 cm/3 Gözü Gazlı + 1 Gözü Woklu/Bulaşık Makinesinde Yıkanabilir Kare Döküm Izgaralı/Nano kaplama Expert Clean Beyaz Cam Ocak</t>
  </si>
  <si>
    <t>OCD K 651 DWYG</t>
  </si>
  <si>
    <t>65 cm/3 Gözü Gazlı + 1 Gözü Woklu/Bulaşık Makinesinde Yıkanabilir Kare Döküm Izgaralı/ Nano kaplama Expert Clean Gri Cam Ocak</t>
  </si>
  <si>
    <t>OCD K 651 DWYS</t>
  </si>
  <si>
    <t>65 cm/3 Gözü Gazlı + 1 Gözü Woklu/Bulaşık Makinesinde Yıkanabilir Kare Döküm Izgaralı/ Nano kaplama Expert Clean Siyah Cam Ocak</t>
  </si>
  <si>
    <t>ANKASTRE ENTEGRE DAVLUMBAZLI OCAKLAR</t>
  </si>
  <si>
    <t>90 cm /15 Sıcaklık Ayarı/13 Gözlü(2'si Esnek)İndüksiyonlu/Siyah Cam ocak</t>
  </si>
  <si>
    <t xml:space="preserve">75 cm/5 gözü gazlı (1 gözü 5 kW Wok) / Döküm Tencere Izgaralı/Nano Kaplama Expert Clean / Inox Metal </t>
  </si>
  <si>
    <t>61 cm/4 Gözü Gazlı /Parlak emaye Tencere Izgaralı/ Nano kaplama Expert Clean/İnoks Ocak</t>
  </si>
  <si>
    <t>61 cm/4 Gözü Gazlı /Parlak emaye Tencere Izgaralı/ Siyah Ocak</t>
  </si>
  <si>
    <t>61 cm/4 Gözü Gazlı /Parlak Emaye Tencere Izgaralı/ Beyaz Ocak</t>
  </si>
  <si>
    <t>OCD T 601-1 EB</t>
  </si>
  <si>
    <t>60 cm/4 Gözü Gazlı/Parlak Emaye Tencere Izgaralı/ Beyaz Cam Ocak</t>
  </si>
  <si>
    <t>OCD K 651 EB</t>
  </si>
  <si>
    <t>OCD T 601-1 EHB</t>
  </si>
  <si>
    <t>60 cm/4 Gözü Gazlı/Parlak Emaye Tencere Izgaralı/Harmoni Beyaz Cam Ocak</t>
  </si>
  <si>
    <t>*C</t>
  </si>
  <si>
    <t>60 cm / IN-EN 61591 Normuna Göre: 720 m³ / NTC Sensörlü / 3+1 Yoğun Kademe / Beyaz Cam</t>
  </si>
  <si>
    <t>60 cm / IN-EN 61591 Normuna Göre: 720 m³ / NTC Sensörlü / 3+1 Yoğun Kademe / Siyah Cam</t>
  </si>
  <si>
    <t>60 cm / IN-EN 61591 Normuna Göre: 720 m³ / NTC Sensörlü / 3+1 Yoğun Kademe / Gri Cam</t>
  </si>
  <si>
    <t>ADE 606-2 I</t>
  </si>
  <si>
    <t>60 cm / IN-EN 61591 Normuna Göre: 720 m³ / NTC Sensörlü / 3+1 Yoğun Kademe / Inoks</t>
  </si>
  <si>
    <t>*D</t>
  </si>
  <si>
    <t>ADE 605 S</t>
  </si>
  <si>
    <t>60 cm / IN-EN 61591 Normuna Göre: 400 m³ / 3 Kademe /Siyah Cam / Mekanik Kontrollü</t>
  </si>
  <si>
    <t>*B</t>
  </si>
  <si>
    <t>60 cm / IN-EN 61591 Normuna Göre: 400 m³ / 3 Kademe /Harmony Beyaz Cam / Mekanik Kontrollü</t>
  </si>
  <si>
    <t>90 cm / IN-EN 61591 Normuna Göre: 712 m³ / NTC Sensörlü / 3+1 Yoğun Kademe / Beyaz Cam</t>
  </si>
  <si>
    <t>90 cm / IN-EN 61591 Normuna Göre: 712 m³ / NTC Sensörlü / 3+1 Yoğun Kademe / Siyah Cam</t>
  </si>
  <si>
    <t>ADE 904 S</t>
  </si>
  <si>
    <t>90 cm / IN-EN 61591 Normuna Göre: 410 m³ / 3 Kademe / Siyah Cam</t>
  </si>
  <si>
    <t>60 cm / IN-EN 61591 Standardına Göre: 400 m³ / 3 Kademe / Beyaz</t>
  </si>
  <si>
    <t>60 cm / IN-EN 61591 Standardına Göre: 400 m³ / 3 Kademe / Siyah</t>
  </si>
  <si>
    <t>60 cm / IN-EN 61591 Standardına Göre: 400 m³ / 3 Kademe / İnoks</t>
  </si>
  <si>
    <t>110 cm / IN-EN 61591 Standardına Göre: 645 m³ / 3 Kademe / Siyah</t>
  </si>
  <si>
    <t>60 cm / IN-EN 61591 Normuna Göre: 613 m³ / 3 Kademe / İnoks</t>
  </si>
  <si>
    <t>ADT 606-2 S</t>
  </si>
  <si>
    <t>60 cm / IN-EN 61591 Normuna Göre: 710 m³ / NTC Sensörlü / 3+1 Yoğun Kademe / Siyah Cam</t>
  </si>
  <si>
    <t>ADT 906 I</t>
  </si>
  <si>
    <t>90 cm / IN-EN 61591 Normuna Göre: 613 m³ / 3 Kademe / İnoks</t>
  </si>
  <si>
    <t>P 51 AEI</t>
  </si>
  <si>
    <t>90 cm / IN-EN 61591 Standardına Göre: 713 m³ / 3+1 Yoğun Kademe / İnoks + Transparan Cam Dekor</t>
  </si>
  <si>
    <t>50 cm / IN-EN 61591 Standardına Göre: 381 m³ / 3 Kademe / İnoks</t>
  </si>
  <si>
    <t>80 cm / IN-EN 61591 Standardına Göre: 415 m³ / 3 Kademe / İnoks</t>
  </si>
  <si>
    <t>ADE 607-2 S</t>
  </si>
  <si>
    <t>60 cm / IN-EN 61591 Normuna Göre: 850 m³ / NTC&amp;VOC Sensörlü / 3+1 Yoğun Kademe / Siyah Cam</t>
  </si>
  <si>
    <t>*A++</t>
  </si>
  <si>
    <t>ADE 607-2 G</t>
  </si>
  <si>
    <t>60 cm / IN-EN 61591 Normuna Göre: 850 m³ / NTC&amp;VOC Sensörlü / 3+1 Yoğun Kademe / Gri Cam</t>
  </si>
  <si>
    <t>ADE 607-2 B</t>
  </si>
  <si>
    <t>60 cm / IN-EN 61591 Normuna Göre: 850 m³ / NTC&amp;VOC Sensörlü / 3+1 Yoğun Kademe / Beyaz Cam</t>
  </si>
  <si>
    <t>P 171 TB</t>
  </si>
  <si>
    <t>60 cm / IN-EN 61591 Standardına Göre: 300 m³ / 3 Kademe / Beyaz</t>
  </si>
  <si>
    <t>P 171 TS</t>
  </si>
  <si>
    <t>60 cm / IN-EN 61591 Standardına Göre: 300 m³ / 3 Kademe / Siyah</t>
  </si>
  <si>
    <t>P 171 TI</t>
  </si>
  <si>
    <t>60 cm / IN-EN 61591 Standardına Göre: 300 m³ / 3 Kademe / İnoks</t>
  </si>
  <si>
    <t>P 171 TG</t>
  </si>
  <si>
    <t>60 cm / IN-EN 61591 Standardına Göre: 300 m³ / 3 Kademe / Gri</t>
  </si>
  <si>
    <t>OI 60211 WS</t>
  </si>
  <si>
    <t>OCD K 752 EWS</t>
  </si>
  <si>
    <t xml:space="preserve">75 cm/5 gözü gazlı (1 gözü 5 kW Wok)/ Emaye Kare Tencere Izgaralı/ Nano Kaplama Expert Clean/ Siyah  Cam </t>
  </si>
  <si>
    <t>OCD K 752 EWB</t>
  </si>
  <si>
    <t xml:space="preserve">75 cm/5 gözü gazlı (1 gözü 5 kW Wok)/ Emaye Kare Tencere Izgaralı/ Nano Kaplama Expert Clean/ Beyaz  Cam </t>
  </si>
  <si>
    <t>OCD K 752 EWG</t>
  </si>
  <si>
    <t xml:space="preserve">75 cm/5 gözü gazlı (1 gözü 5 kW Wok)/ Emaye Kare Tencere Izgaralı/ Nano Kaplama Expert Clean/ Gri  Cam </t>
  </si>
  <si>
    <t>P 181 TB</t>
  </si>
  <si>
    <t>60 cm / IN-EN 61591 Standardına Göre: 300 m³ / 3 Kademe / Beyaz Cam Dekor</t>
  </si>
  <si>
    <t>P 181 TS</t>
  </si>
  <si>
    <t>60 cm / IN-EN 61591 Standardına Göre: 300 m³ / 3 Kademe / Siyah Cam Dekor</t>
  </si>
  <si>
    <t>P 181 TG</t>
  </si>
  <si>
    <t>60 cm / IN-EN 61591 Standardına Göre: 300 m³ / 3 Kademe / Gri Cam Dekor</t>
  </si>
  <si>
    <t>ADE 605 G</t>
  </si>
  <si>
    <t>60 cm / IN-EN 61591 Normuna Göre: 400 m³ / 3 Kademe /Gri Cam / Mekanik Kontrollü</t>
  </si>
  <si>
    <t>60 CM DUVAR TİPİ FLAT DAVLUMBAZLAR</t>
  </si>
  <si>
    <t>60 cm / IN-EN 61591 Standardına Göre: 560 m³ / 3+1 Yoğun Kademe / Beyaz Cam</t>
  </si>
  <si>
    <t>60 cm / IN-EN 61591 Standardına Göre: 560 m³ / 3+1 Yoğun Kademe / Gri Cam</t>
  </si>
  <si>
    <t>ADA 606 S</t>
  </si>
  <si>
    <t>60 cm / IN-EN 61591 Standardına Göre: 605 m³ / 3+1 Yoğun Kademe / Siyah</t>
  </si>
  <si>
    <t>OCD K 651 EG</t>
  </si>
  <si>
    <t>60 cm / IN-EN 61591 Standardına Göre: 600 m³ / 3 Kademe / Beyaz Cam</t>
  </si>
  <si>
    <t>60 cm / IN-EN 61591 Standardına Göre: 600 m³ / 3 Kademe / Siyah Cam</t>
  </si>
  <si>
    <t>60 cm / IN-EN 61591 Standardına Göre: 600 m³ / 3 Kademe / Gri Cam</t>
  </si>
  <si>
    <t>90 cm / IN-EN 61591 Standardına Göre: 830 m³ / 3+1 Yoğun Kademe / Siyah Cam Dekor</t>
  </si>
  <si>
    <t>OCD DA 602 DWS</t>
  </si>
  <si>
    <t>60 cm / 4 gözü gazlı (1 gözü Wok) / Asimetrik Tasarım / Siyah cam</t>
  </si>
  <si>
    <t>60 cm / IN-EN 61591 Normuna Göre: 720 m³ / 3+1 Yoğun Kademe / Beyaz Cam</t>
  </si>
  <si>
    <t>ADE 606-4 G</t>
  </si>
  <si>
    <t>60 cm / IN-EN 61591 Normuna Göre: 720 m³ / 3+1 Yoğun Kademe / Gri Cam</t>
  </si>
  <si>
    <t>ADE 907-2 D</t>
  </si>
  <si>
    <t>90 cm / IN-EN 61591 Normuna Göre: 850 m³ / NTC&amp;VOC Sensörlü / 3+1 Yoğun Kademe / Dark Inoks</t>
  </si>
  <si>
    <t>60 cm / IN-EN 61591 Standardına Göre: 648 m³ / 3 Kademe / Siyah Cam Dekor</t>
  </si>
  <si>
    <t>OCD D 902 DWS</t>
  </si>
  <si>
    <t>OCD D 902 DWB</t>
  </si>
  <si>
    <t>90 cm/4 Gözü Gazlı + 1 Gözü Woklu/Döküm Tencere Izgaralı/Beyaz Cam Ocak</t>
  </si>
  <si>
    <t>OCD D 902 DWG</t>
  </si>
  <si>
    <t>90 cm/4 Gözü Gazlı + 1 Gözü Woklu/Döküm Tencere Izgaralı/Gri Cam Ocak</t>
  </si>
  <si>
    <t>OCD DE 602 DWS</t>
  </si>
  <si>
    <t>60 cm / 4 gözü gazlı (1 gözü Wok) / Elmas Tasarım / Siyah cam</t>
  </si>
  <si>
    <t>2 TAKSİT</t>
  </si>
  <si>
    <t>OI 602 YS</t>
  </si>
  <si>
    <t>60 cm /9 Sıcaklık Ayarı/4 Gözü(2'si Esnek)İndüksiyonlu/SafeCook Teknolojili/Siyah Cam ocak</t>
  </si>
  <si>
    <t>OCD K 651 EWB</t>
  </si>
  <si>
    <t>65 cm / XL ocak / 4 gözü gazlı (1 gözü Wok) / Kolay temizlenebilir nano kaplama / Beyaz cam</t>
  </si>
  <si>
    <t>OCD K 651 EWG</t>
  </si>
  <si>
    <t>65 cm / XL ocak / 4 gözü gazlı (1 gözü Wok) / Kolay temizlenebilir nano kaplama / Gri cam</t>
  </si>
  <si>
    <t>OCD K 651 EWS</t>
  </si>
  <si>
    <t>65 cm / XL ocak / 4 gözü gazlı (1 gözü Wok) / Kolay temizlenebilir nano kaplama / Siyah cam</t>
  </si>
  <si>
    <t>ADF 605 B***</t>
  </si>
  <si>
    <t>ADF 605 G***</t>
  </si>
  <si>
    <t>AS 606 S***</t>
  </si>
  <si>
    <t xml:space="preserve">OI 6022 S </t>
  </si>
  <si>
    <t>OV 802 ST</t>
  </si>
  <si>
    <t>80 cm/4 Gözü Vitroseramik/Siyah Cam Ocak/Trifaze</t>
  </si>
  <si>
    <t>SET ÜSTÜ OCAKLAR</t>
  </si>
  <si>
    <t>STOC 828 G</t>
  </si>
  <si>
    <t>STOC 828 G / Cam / 4 Gözü Gazlı / Kırılmaya Karşı Daha Dayanıklı 8 mm Cam / Gaz Emniyetli / Doğalgaz / Gri</t>
  </si>
  <si>
    <t>STOC 827 B</t>
  </si>
  <si>
    <t>STOC 827 B / Cam / 4 Gözü Gazlı / Kırılmaya Karşı Daha Dayanıklı 8 mm Cam / Gaz Emniyetli / Doğalgaz / Beyaz</t>
  </si>
  <si>
    <t>STOC 826 S</t>
  </si>
  <si>
    <t>STOC 826 S / Cam / 4 Gözü Gazlı / Kırılmaya Karşı Daha Dayanıklı 8 mm Cam / Gaz Emniyetli / Doğalgaz / Siyah</t>
  </si>
  <si>
    <t>SOMD D 611EWI</t>
  </si>
  <si>
    <t>SOMD D 611EWI / Metal / 3 Gözü Gazlı + 1 Gözü Wok / Gaz Emniyetli / Doğalgaz / Inox</t>
  </si>
  <si>
    <t>SOMD D 611EI</t>
  </si>
  <si>
    <t>SOMD D 611EI / Metal / 4 Gözü Gazlı / Gaz Emniyetli / Doğalgaz / Inox</t>
  </si>
  <si>
    <t>SOMD D 611EB</t>
  </si>
  <si>
    <t>SOMD D 611EB / Metal / 4 Gözü Gazlı / Gaz Emniyetli / Doğalgaz / Beyaz</t>
  </si>
  <si>
    <t>SOMD D 611ES</t>
  </si>
  <si>
    <t>SOMD D 611ES / Metal / 4 Gözü Gazlı / Gaz Emniyetli / Doğalgaz / Siyah</t>
  </si>
  <si>
    <t>SOE 601 I</t>
  </si>
  <si>
    <t>SOE 601 I / Metal / 4 Gözü Elektrikli Hotplate / Inox</t>
  </si>
  <si>
    <t xml:space="preserve">SOE 301 B </t>
  </si>
  <si>
    <t>SOE 301 B / Metal / 2 Gözü Elektrikli Hotplate / Beyaz</t>
  </si>
  <si>
    <t>ADE 604-1 S</t>
  </si>
  <si>
    <t>60 cm / IN-EN 61591 Normuna Göre: 500 m³ / 3 Kademe / Siyah Cam</t>
  </si>
  <si>
    <t>60 cm / IN-EN 61591 Normuna Göre: 500 m³ / 3 Kademe / Beyaz Cam</t>
  </si>
  <si>
    <t>ADE 604-1 G</t>
  </si>
  <si>
    <t>60 cm / IN-EN 61591 Normuna Göre: 500 m³ / 3 Kademe / Gri Cam</t>
  </si>
  <si>
    <t>AFC 361 S</t>
  </si>
  <si>
    <t xml:space="preserve">AFC 361 G </t>
  </si>
  <si>
    <t>AFC 361 B</t>
  </si>
  <si>
    <t>AFM 130 S</t>
  </si>
  <si>
    <t>AFM 130 B</t>
  </si>
  <si>
    <t>AFM 130 I</t>
  </si>
  <si>
    <t>AFC 330 B</t>
  </si>
  <si>
    <t>AFC 330 S</t>
  </si>
  <si>
    <t>AFC 120 S</t>
  </si>
  <si>
    <t>AFC  330 G</t>
  </si>
  <si>
    <t>AFC 221 HB</t>
  </si>
  <si>
    <t xml:space="preserve">AFC 341 B </t>
  </si>
  <si>
    <t xml:space="preserve">AFC 341 G </t>
  </si>
  <si>
    <t>AFC 342 B</t>
  </si>
  <si>
    <t>AFC 342 G</t>
  </si>
  <si>
    <t>OV 645</t>
  </si>
  <si>
    <t>60 cm /9 Sıcaklık Ayarı/4 Gözü İndüksiyonlu/Siyah Cam ocak</t>
  </si>
  <si>
    <t>60 cm/4 Gözü Vitroseramik/Siyah Cam Ocak/Trifaze</t>
  </si>
  <si>
    <t>6 Fonksiyonlu/72 Lt Hacim//Beyaz</t>
  </si>
  <si>
    <t>6 Fonksiyonlu/72 Lt Hacim/Siyah</t>
  </si>
  <si>
    <t>6 Fonksiyonlu/72 Lt Hacim/İnoks</t>
  </si>
  <si>
    <t>4 Fonksiyonlu/72 Lt Hacim/Siyah Cam</t>
  </si>
  <si>
    <t>AFC 220 G</t>
  </si>
  <si>
    <t>6 Fonksiyonlu/72 Lt Hacim/Mekanik saatli /Gri Cam</t>
  </si>
  <si>
    <t>6 Fonksiyonlu/72 Lt Hacim/Mekanik saatli /Harmony Beyaz Cam</t>
  </si>
  <si>
    <t>6 Fonksiyonlu/72 Lt Hacim/Dijital Saatli /Siyah Cam</t>
  </si>
  <si>
    <t>6 Fonksiyonlu/72 Lt Hacim/Dijital Saatli /Beyaz Cam</t>
  </si>
  <si>
    <t>6 Fonksiyonlu/72 Lt Hacim/Dijital Saatli / Gri Cam</t>
  </si>
  <si>
    <t>8 Fonksiyonlu/72 Lt Hacim/AFRY teknolojisi ile az yağlı sağlıklı/Dijital Saatli /Siyah Cam</t>
  </si>
  <si>
    <t>8 Fonksiyonlu/72 Lt Hacim/AFRY teknolojisi ile az yağlı sağlıklı/Dijital Saatli /Gri Cam</t>
  </si>
  <si>
    <t>8 Fonksiyonlu/72 Lt Hacim/Buhar Destekli/Dijital Saatli /Gömülebilir Düğmeli/Beyaz Cam</t>
  </si>
  <si>
    <t>8 Fonksiyonlu/72 Lt Hacim/Buhar Destekli/Dijital Saatli /Gömülebilir Düğmeli/Gri Cam</t>
  </si>
  <si>
    <t>9 Fonksiyonlu/Buhar Destekli/72 Lt Hacim/Gömülebilir Düğmeli Dokunmatik Beyaz LED Ekran/AFRY teknolojisi ile az yağlı sağlıklı /Beyaz Cam</t>
  </si>
  <si>
    <t>9 Fonksiyonlu/Buhar Destekli/72 Lt Hacim/Gömülebilir Düğmeli Dokunmatik Beyaz LED Ekran/AFRY teknolojisi ile az yağlı sağlıklı /Siyah Cam</t>
  </si>
  <si>
    <t>9 Fonksiyonlu/Buhar Destekli/72 Lt Hacim/Gömülebilir Düğmeli Dokunmatik Beyaz LED Ekran/AFRY teknolojisi ile az yağlı sağlıklı /Gri Cam</t>
  </si>
  <si>
    <t xml:space="preserve">AFC 680 D </t>
  </si>
  <si>
    <t>ADE 606-2 MS</t>
  </si>
  <si>
    <t>60 cm / IN-EN 61591 Normuna Göre: 720 m³ / NTC Sensörlü / 3+1 Yoğun Kademe / Mat Siyah</t>
  </si>
  <si>
    <t>P 122 YTI***</t>
  </si>
  <si>
    <t>P 124 YTI***</t>
  </si>
  <si>
    <t>AFC 540 A</t>
  </si>
  <si>
    <t>OCD K 651 DWY MS</t>
  </si>
  <si>
    <t>65 cm/3 Gözü Gazlı + 1 Gözü Woklu/Bulaşık Makinesinde Yıkanabilir Kare Döküm Izgaralı/ Nano kaplama Expert Clean MAT Siyah Cam Ocak</t>
  </si>
  <si>
    <t>AAG 523 I</t>
  </si>
  <si>
    <t>52 cm / IN-EN 61591 Standardına Göre: 358 m³ / 3 Kademe / İnoks</t>
  </si>
  <si>
    <t>AAG 723 I</t>
  </si>
  <si>
    <t>72 cm / IN-EN 61591 Standardına Göre: 365 m³ / 3 Kademe / İnoks</t>
  </si>
  <si>
    <t>OCD K 752-3 DWKYS</t>
  </si>
  <si>
    <t xml:space="preserve">75 cm/9 Kademeli/5 gözü gazlı (1 gözü 5 kW Wok)/ Yınabalilir Döküm Kare Tencere Izgaralı/ Nano Kaplama Expert Clean/ Siyah Cam </t>
  </si>
  <si>
    <t>OCD K 752-3 DWKYB</t>
  </si>
  <si>
    <t xml:space="preserve">75 cm/9 Kademeli/5 gözü gazlı (1 gözü 5 kW Wok)/ Yınabalilir Döküm Kare Tencere Izgaralı/ Nano Kaplama Expert Clean/ Beyaz  Cam </t>
  </si>
  <si>
    <t>OCD K 752-3 DWKYG</t>
  </si>
  <si>
    <t xml:space="preserve">75 cm/9 Kademeli/5 gözü gazlı (1 gözü 5 kW Wok)/ Yınabalilir Döküm Kare Tencere Izgaralı/ Nano Kaplama Expert Clean/ Gri Cam </t>
  </si>
  <si>
    <t>AFC  331 G</t>
  </si>
  <si>
    <t>AFC 362 B</t>
  </si>
  <si>
    <t>AFC 362 G</t>
  </si>
  <si>
    <t>AFC 362 S</t>
  </si>
  <si>
    <t>17  Fonksiyonlu/Tam Buharlı/SmartAero Pro/72 Lt Hacim/Dokunmatik Beyaz LCD Ekran/AFRY teknolojisi ile az yağlı sağlıklı  /Dark/Homewhiz</t>
  </si>
  <si>
    <t xml:space="preserve">AFC 45 MD B </t>
  </si>
  <si>
    <t xml:space="preserve">AFC 45 MD S </t>
  </si>
  <si>
    <t>SOCD T 601 EG</t>
  </si>
  <si>
    <t>SOCD T 601 ES</t>
  </si>
  <si>
    <t>SOCD T 601 EB</t>
  </si>
  <si>
    <t>SOCD T 601 EG / Cam / 4 Gözü Gazlı / Kırılmaya Karşı Daha Dayanıklı 8 mm Cam / Gaz Emniyetli / Doğalgaz / Gri</t>
  </si>
  <si>
    <t>SOCD T 601 ES / Cam / 4 Gözü Gazlı / Kırılmaya Karşı Daha Dayanıklı 8 mm Cam / Gaz Emniyetli / Doğalgaz / Siyah</t>
  </si>
  <si>
    <t>SOCD T 601 EB / Cam / 4 Gözü Gazlı / Kırılmaya Karşı Daha Dayanıklı 8 mm Cam / Gaz Emniyetli / Doğalgaz / Beyaz</t>
  </si>
  <si>
    <t>KDV DAHİL 30 GÜNLÜK TOPTAN FİYAT</t>
  </si>
  <si>
    <t>KDV DAHİL 60 GÜNLÜK TOPTAN FİYAT</t>
  </si>
  <si>
    <t>KDV DAHİL 90 GÜNLÜK TOPTAN FİYAT</t>
  </si>
  <si>
    <t>KDV DAHİL 120 GÜNLÜK TOPTAN FİYAT</t>
  </si>
  <si>
    <t>KDV DAHİL PEŞİN TOPTAN FİYAT</t>
  </si>
  <si>
    <t>AFC 222 HBD</t>
  </si>
  <si>
    <t>AFC 341 S</t>
  </si>
  <si>
    <t>8 Fonksiyonlu/72 Lt Hacim/Buhar Destekli/Dijital Saatli /Gömülebilir Düğmeli/Siyah Cam</t>
  </si>
  <si>
    <t>9 Fonksiyonlu/Buhar Destekli-Tanklı/72 Lt Hacim/Gömülebilir Düğmeli Dokunmatik Beyaz LED Ekran/AFRY teknolojisi ile az yağlı sağlıklı /Beyaz Cam/Homewhiz</t>
  </si>
  <si>
    <t>9 Fonksiyonlu/Buhar Destekli-Tanklı/72 Lt Hacim/Gömülebilir Düğmeli Dokunmatik Beyaz LED Ekran/AFRY teknolojisi ile az yağlı sağlıklı /Gri Cam /Homewhiz</t>
  </si>
  <si>
    <t>9 Fonksiyonlu/Buhar Destekli-Tanklı/72 Lt Hacim/Gömülebilir Düğmeli Dokunmatik Beyaz LED Ekran/AFRY teknolojisi ile az yağlı sağlıklı /Siyah Cam/Homewhiz</t>
  </si>
  <si>
    <t xml:space="preserve">AFC 472 B </t>
  </si>
  <si>
    <t>15 Fonksiyonlu/Buhar Destekli-Jeneratörlü /72 Lt Hacim/Dokunmatik Beyaz LED Ekran/AFRY teknolojisi ile az yağlı sağlıklı /Beyaz Cam /Homewhiz</t>
  </si>
  <si>
    <t>AFC 472 G</t>
  </si>
  <si>
    <t>15 Fonksiyonlu/Buhar Destekli-Jeneratörlü /72 Lt Hacim/Dokunmatik Beyaz LED Ekran/AFRY teknolojisi ile az yağlı sağlıklı /Gri Cam /Homewhiz</t>
  </si>
  <si>
    <t>15 Fonksiyon / Buhar Destekli-Jenaratörlü / AFry teknolojisi ile az yağlı sağlıklı / Mat siyah Cam/Homewhiz</t>
  </si>
  <si>
    <t>AFC 691 B</t>
  </si>
  <si>
    <t>15  Fonksiyonlu/Buhar destekli-Jenaratörlü/72 Lt Hacim/Dokunmatik Beyaz LCD Ekran/AFRY teknolojisi ile az yağlı sağlıklı  /Beyaz Cam /Entegre Kameralı/Homewhiz</t>
  </si>
  <si>
    <t>45 Cm Ankastre fırın</t>
  </si>
  <si>
    <t>AFC 121 SR</t>
  </si>
  <si>
    <t>6 Fonksiyonlu/72 Lt Hacim/Siyah Cam</t>
  </si>
  <si>
    <t>ADE 6062 B1</t>
  </si>
  <si>
    <t>ADE 6062 S1</t>
  </si>
  <si>
    <t>ADE 6064 B1</t>
  </si>
  <si>
    <t>ADE 6041 B1</t>
  </si>
  <si>
    <t>ADE 605 HB1</t>
  </si>
  <si>
    <t>60 cm / IN-EN 61591 Normuna Göre: 420 m³ / 3 Kademe /Harmony Beyaz Cam / Mekanik Kontrollü</t>
  </si>
  <si>
    <t>ADE 603 SR</t>
  </si>
  <si>
    <t>60 cm / IN-EN 61591 Normuna Göre: 430 m³ / 3 Kademe /Siyah Cam / Mekanik Kontrollü</t>
  </si>
  <si>
    <t>ADE 9062 B1</t>
  </si>
  <si>
    <t>ADE 9062 S1</t>
  </si>
  <si>
    <t>P 27 YID</t>
  </si>
  <si>
    <t>ADP 1006 S</t>
  </si>
  <si>
    <t xml:space="preserve">100 cm / IN-EN 61591 Standardına Göre: 600 m³ / 3 Kademe / Siyah </t>
  </si>
  <si>
    <t>ADE 606-2 B***</t>
  </si>
  <si>
    <t>ADE 606-2 S***</t>
  </si>
  <si>
    <t>ADE 606-4 B***</t>
  </si>
  <si>
    <t>ADE 604-1 B***</t>
  </si>
  <si>
    <t>ADE 605-3 B***</t>
  </si>
  <si>
    <t>ADE 605-3 S***</t>
  </si>
  <si>
    <t>ADE 605-3 G***</t>
  </si>
  <si>
    <t>ADE 605 HB***</t>
  </si>
  <si>
    <t>ADE 906-2 B***</t>
  </si>
  <si>
    <t>ADE 906-2 S***</t>
  </si>
  <si>
    <t>P 27 YI***</t>
  </si>
  <si>
    <t>P 912 S***</t>
  </si>
  <si>
    <t>ADT 606 I***</t>
  </si>
  <si>
    <t>ADA 908 S***</t>
  </si>
  <si>
    <t>ARÇELİK INSERT</t>
  </si>
  <si>
    <t>BEKO INSERT</t>
  </si>
  <si>
    <t>SET
SIRA</t>
  </si>
  <si>
    <t>ARÇELİK
SET ADI</t>
  </si>
  <si>
    <t>ARÇELİK
SKU</t>
  </si>
  <si>
    <t>ARÇELİK
ÜRÜN</t>
  </si>
  <si>
    <t>TOPTAN
PP</t>
  </si>
  <si>
    <t xml:space="preserve">
PERAKENDE</t>
  </si>
  <si>
    <t>-</t>
  </si>
  <si>
    <t>YENİ KARE OCAKLI BEYAZ SET</t>
  </si>
  <si>
    <t>7768280102,7763680103,7704330122</t>
  </si>
  <si>
    <t>OCD K 651 EB </t>
  </si>
  <si>
    <t>KARE OCAKLI GRİ SET</t>
  </si>
  <si>
    <t>7768280101,7763680102,7704331102</t>
  </si>
  <si>
    <t>YENİ  İNDÜKSİYONLU SİYAH  CAM SET</t>
  </si>
  <si>
    <t>7768270190,7757180110,7704330123,-</t>
  </si>
  <si>
    <t>YENİ KARE OCAKLI BEYAZ BUHAR DESTEKLİ CAM SET</t>
  </si>
  <si>
    <t>7768280102,7763680103,7704330124</t>
  </si>
  <si>
    <t>KARE OCAKLI GRİ BUHAR DESTEKLİ CAM SET</t>
  </si>
  <si>
    <t>7768280101,7763680102,7704330116</t>
  </si>
  <si>
    <t>ASPİRATÖRLÜ BUHAR DESTEKLİ GRİ CAM SET</t>
  </si>
  <si>
    <t>7768280101,7763680102,9210531100</t>
  </si>
  <si>
    <t>60 CM OCAKLI BUHAR DESTEKLİ GRİ CAM SET</t>
  </si>
  <si>
    <t>7768280101,7763680124,7704330234</t>
  </si>
  <si>
    <t>YENİ 65 CM OCAKLI AFRY BEYAZ CAM SET</t>
  </si>
  <si>
    <t>7768280104,7763670152,7704330122</t>
  </si>
  <si>
    <t>65 CM OCAKLI AFRY GRİ CAM SET</t>
  </si>
  <si>
    <t>7768280103,7763670160,7704331102</t>
  </si>
  <si>
    <t>İNCE TUTAMAK TASARIMLI SU TANKLI BUHARLI GRİ CAM SET</t>
  </si>
  <si>
    <t>7779420289,7763680102,7704331102,-</t>
  </si>
  <si>
    <t>YENİ İNCE TUTAMAK TASARIMLI  SU TANKLI BUHARLI BEYAZ CAM SET</t>
  </si>
  <si>
    <t>7779420287,7763680103,7704330122,-</t>
  </si>
  <si>
    <t>YENİ İNCE TUTAMAK TASARIMLI YUVARLAK OCAKLI SU TANKLI BUHARLI BEYAZ CAM SET</t>
  </si>
  <si>
    <t>7779420287,7763670152,7704330124,-</t>
  </si>
  <si>
    <t>İNCE TUTAMAK TASARIMLI DÖKÜM WOK OCAKLI GRİ BUHARLI SET</t>
  </si>
  <si>
    <t>7779420289,7763680121,7704331102,-</t>
  </si>
  <si>
    <t>YENİ İNCE TUTAMAK TASARIMLI  DÖKÜM WOK OCAKLI BEYAZ BUHARLI SET</t>
  </si>
  <si>
    <t>7779420287,7763680120,7704330122,-</t>
  </si>
  <si>
    <t>YENİ 60 CM OCAKLI AVANTAJ BEYAZ SET</t>
  </si>
  <si>
    <t>7768270185,7763680125,7704330120,-</t>
  </si>
  <si>
    <t>65 CM OCAKLI AVANTAJ GRİ SET</t>
  </si>
  <si>
    <t>7768270204,7763680102,7704330234</t>
  </si>
  <si>
    <t>YENİ VİTROSERAMİK OCAKLI SİYAH SET</t>
  </si>
  <si>
    <t>7768270190,7762780103,7704330123</t>
  </si>
  <si>
    <t>OV 645 S</t>
  </si>
  <si>
    <t>60 CM OCAKLI AVANTAJ SİYAH SET</t>
  </si>
  <si>
    <t>7768270190,7763580126,7704330232</t>
  </si>
  <si>
    <t>YENİ HARMONİ BEYAZ  SET</t>
  </si>
  <si>
    <t>7768270241,7763580121,7704330121,-</t>
  </si>
  <si>
    <t>OCD T 601-1 EHBD</t>
  </si>
  <si>
    <t>ASPİRATÖRLÜ METAL INOX SET</t>
  </si>
  <si>
    <t>7768270161,7768870119,9209861100,-</t>
  </si>
  <si>
    <t>OMD D 611 EID</t>
  </si>
  <si>
    <t>YENİ DAVLUMBAZLI METAL INOX SET</t>
  </si>
  <si>
    <t>7768270161,7768870119,9218011100,-</t>
  </si>
  <si>
    <t>ASPİRATÖRLÜ METAL SİYAH SET</t>
  </si>
  <si>
    <t>7768270165,7784570113,9209881100,-</t>
  </si>
  <si>
    <t>PİRAMİT DAVLUMBAZLI SİYAH METAL SET</t>
  </si>
  <si>
    <t>7768270165,7784570113,8863341100,-</t>
  </si>
  <si>
    <t>SİYAH EKO SET</t>
  </si>
  <si>
    <t>7768280113,7763580130,9260181100,-</t>
  </si>
  <si>
    <t>OCD T 601 ESR</t>
  </si>
  <si>
    <t>ECLİPS MAT SİYAH SET</t>
  </si>
  <si>
    <t>7718186374,7763680140,7704330118,-</t>
  </si>
  <si>
    <t>KARE OCAKLI BEYAZ BUHAR DESTEKLİ 2'Lİ SET</t>
  </si>
  <si>
    <t>7768280102,7763680103</t>
  </si>
  <si>
    <t>İNCE TUTAMAK TASARIMLI KARE OCAKLI GRİ BUHAR DESTEKLİ 2'Lİ SET</t>
  </si>
  <si>
    <t>7779420289,7763680102</t>
  </si>
  <si>
    <t>SİYAH CAM FIRSAT 2'Lİ SET</t>
  </si>
  <si>
    <t>7768280113,7763580130</t>
  </si>
  <si>
    <t>YENİ KARE OCAKLI BEYAZ 2'Lİ SET</t>
  </si>
  <si>
    <t>7763680103,7704330122</t>
  </si>
  <si>
    <t>60 CM OCAKLI 2'Lİ FIRSAT SET</t>
  </si>
  <si>
    <t>7763680124,7704330234</t>
  </si>
  <si>
    <t>60 CM OCAKLI 2'Lİ AVANTAJ SET</t>
  </si>
  <si>
    <t>7763580126,7704331224</t>
  </si>
  <si>
    <t xml:space="preserve"> PREMIUM İNDÜKSİYONLU SİYAH  CAM SET</t>
  </si>
  <si>
    <t>7718186374,7757180110,7704330118,7763680103,7704330122</t>
  </si>
  <si>
    <t>İndüksiyon Ocaklar</t>
  </si>
  <si>
    <t>OI 602-1 YS</t>
  </si>
  <si>
    <t>Vitroseramik Ocaklar</t>
  </si>
  <si>
    <t>90 CM Gazlı Cam Ocaklar</t>
  </si>
  <si>
    <t>75 CM Gazlı Cam Ocaklar</t>
  </si>
  <si>
    <t>65 CM Gazlı Cam Ocaklar</t>
  </si>
  <si>
    <t>61 CM Gazlı Metal Ocaklar</t>
  </si>
  <si>
    <t>60 CM Gazlı Cam Ocaklar</t>
  </si>
  <si>
    <t>Domino Ocaklar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</si>
</sst>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43" formatCode="_-* #,##0.00_-;\-* #,##0.00_-;_-* &quot;-&quot;??_-;_-@_-"/>
    <numFmt numFmtId="164" formatCode="_-* #,##0.00\ _₺_-;\-* #,##0.00\ _₺_-;_-* &quot;-&quot;??\ _₺_-;_-@_-"/>
    <numFmt numFmtId="165" formatCode="dd\-mmm\-yy"/>
    <numFmt numFmtId="166" formatCode="_-* #,##0_-;\-* #,##0_-;_-* &quot;-&quot;??_-;_-@_-"/>
    <numFmt numFmtId="167" formatCode="###,000"/>
  </numFmts>
  <fonts count="94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0"/>
      <name val="Helv"/>
      <charset val="204"/>
    </font>
    <font>
      <sz val="10"/>
      <color theme="0"/>
      <name val="Calibri"/>
      <family val="2"/>
      <charset val="162"/>
      <scheme val="minor"/>
    </font>
    <font>
      <sz val="10"/>
      <color theme="1"/>
      <name val="Calibri"/>
      <family val="2"/>
      <charset val="162"/>
      <scheme val="minor"/>
    </font>
    <font>
      <b/>
      <sz val="10"/>
      <name val="Calibri"/>
      <family val="2"/>
      <charset val="162"/>
      <scheme val="minor"/>
    </font>
    <font>
      <sz val="9"/>
      <color theme="1"/>
      <name val="Arial"/>
      <family val="2"/>
      <charset val="162"/>
    </font>
    <font>
      <sz val="9"/>
      <name val="Arial"/>
      <family val="2"/>
      <charset val="162"/>
    </font>
    <font>
      <b/>
      <sz val="10"/>
      <color theme="0"/>
      <name val="Calibri"/>
      <family val="2"/>
      <charset val="162"/>
      <scheme val="minor"/>
    </font>
    <font>
      <sz val="10"/>
      <name val="Calibri"/>
      <family val="2"/>
      <charset val="162"/>
      <scheme val="minor"/>
    </font>
    <font>
      <b/>
      <sz val="9"/>
      <name val="Calibri"/>
      <family val="2"/>
      <charset val="162"/>
      <scheme val="minor"/>
    </font>
    <font>
      <sz val="9"/>
      <name val="Calibri"/>
      <family val="2"/>
      <charset val="162"/>
      <scheme val="minor"/>
    </font>
    <font>
      <sz val="9"/>
      <color theme="0"/>
      <name val="Arial"/>
      <family val="2"/>
      <charset val="162"/>
    </font>
    <font>
      <b/>
      <sz val="9"/>
      <color theme="0"/>
      <name val="Arial"/>
      <family val="2"/>
      <charset val="162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color theme="0"/>
      <name val="Arial"/>
      <family val="2"/>
      <charset val="162"/>
    </font>
    <font>
      <b/>
      <sz val="11"/>
      <color theme="1"/>
      <name val="Calibri"/>
      <family val="2"/>
      <charset val="162"/>
      <scheme val="minor"/>
    </font>
    <font>
      <sz val="10"/>
      <name val="Arial"/>
      <family val="2"/>
      <charset val="162"/>
    </font>
    <font>
      <b/>
      <sz val="11"/>
      <color rgb="FF376091"/>
      <name val="Calibri"/>
      <family val="2"/>
      <charset val="162"/>
      <scheme val="minor"/>
    </font>
    <font>
      <sz val="11"/>
      <color rgb="FF000000"/>
      <name val="Calibri"/>
      <family val="2"/>
      <scheme val="minor"/>
    </font>
    <font>
      <sz val="10"/>
      <name val="Helvetica"/>
      <family val="2"/>
    </font>
    <font>
      <sz val="10"/>
      <color indexed="8"/>
      <name val="Arial"/>
      <family val="2"/>
    </font>
    <font>
      <b/>
      <sz val="8"/>
      <color rgb="FF1F497D"/>
      <name val="Verdana"/>
      <family val="2"/>
      <charset val="162"/>
    </font>
    <font>
      <sz val="8"/>
      <color rgb="FF1F497D"/>
      <name val="Verdana"/>
      <family val="2"/>
      <charset val="162"/>
    </font>
    <font>
      <sz val="8"/>
      <color rgb="FF000000"/>
      <name val="Verdana"/>
      <family val="2"/>
      <charset val="162"/>
    </font>
    <font>
      <b/>
      <sz val="8"/>
      <color rgb="FF00CC00"/>
      <name val="Verdana"/>
      <family val="2"/>
      <charset val="162"/>
    </font>
    <font>
      <b/>
      <sz val="8"/>
      <color rgb="FF33CC33"/>
      <name val="Verdana"/>
      <family val="2"/>
      <charset val="162"/>
    </font>
    <font>
      <b/>
      <sz val="8"/>
      <color rgb="FFFF9900"/>
      <name val="Verdana"/>
      <family val="2"/>
      <charset val="162"/>
    </font>
    <font>
      <b/>
      <sz val="8"/>
      <color rgb="FFFF0000"/>
      <name val="Verdana"/>
      <family val="2"/>
      <charset val="162"/>
    </font>
    <font>
      <sz val="8"/>
      <color rgb="FF000000"/>
      <name val="Arial"/>
      <family val="2"/>
      <charset val="162"/>
    </font>
    <font>
      <i/>
      <sz val="8"/>
      <color rgb="FF000000"/>
      <name val="Verdana"/>
      <family val="2"/>
      <charset val="162"/>
    </font>
    <font>
      <b/>
      <i/>
      <sz val="8"/>
      <color rgb="FF000000"/>
      <name val="Verdana"/>
      <family val="2"/>
      <charset val="162"/>
    </font>
    <font>
      <sz val="9"/>
      <color theme="1"/>
      <name val="Calibri"/>
      <family val="2"/>
      <charset val="162"/>
      <scheme val="minor"/>
    </font>
    <font>
      <b/>
      <sz val="9"/>
      <color theme="1"/>
      <name val="Arial"/>
      <family val="2"/>
      <charset val="162"/>
    </font>
    <font>
      <sz val="9"/>
      <color indexed="81"/>
      <name val="Tahoma"/>
      <family val="2"/>
      <charset val="162"/>
    </font>
    <font>
      <b/>
      <sz val="9"/>
      <color indexed="81"/>
      <name val="Tahoma"/>
      <family val="2"/>
      <charset val="162"/>
    </font>
    <font>
      <b/>
      <sz val="9"/>
      <color theme="1"/>
      <name val="Calibri"/>
      <family val="2"/>
      <charset val="162"/>
      <scheme val="minor"/>
    </font>
    <font>
      <b/>
      <sz val="9"/>
      <color theme="0"/>
      <name val="Calibri"/>
      <family val="2"/>
      <charset val="162"/>
      <scheme val="minor"/>
    </font>
    <font>
      <b/>
      <sz val="9"/>
      <color rgb="FFFF0000"/>
      <name val="Calibri"/>
      <family val="2"/>
      <charset val="162"/>
      <scheme val="minor"/>
    </font>
    <font>
      <sz val="9"/>
      <color rgb="FFFF0000"/>
      <name val="Calibri"/>
      <family val="2"/>
      <charset val="162"/>
      <scheme val="minor"/>
    </font>
    <font>
      <b/>
      <sz val="9"/>
      <color theme="5" tint="-0.249977111117893"/>
      <name val="Calibri"/>
      <family val="2"/>
      <charset val="162"/>
      <scheme val="minor"/>
    </font>
    <font>
      <sz val="9"/>
      <color theme="5" tint="-0.249977111117893"/>
      <name val="Calibri"/>
      <family val="2"/>
      <charset val="162"/>
      <scheme val="minor"/>
    </font>
    <font>
      <sz val="10"/>
      <color theme="5" tint="-0.249977111117893"/>
      <name val="Calibri"/>
      <family val="2"/>
      <charset val="162"/>
      <scheme val="minor"/>
    </font>
    <font>
      <b/>
      <sz val="11"/>
      <color theme="0"/>
      <name val="Calibri"/>
      <family val="2"/>
      <charset val="162"/>
      <scheme val="minor"/>
    </font>
  </fonts>
  <fills count="3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254061"/>
        <bgColor rgb="FF254061"/>
      </patternFill>
    </fill>
    <fill>
      <patternFill patternType="solid">
        <fgColor rgb="FFDBE5F1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1F5FB"/>
        <bgColor rgb="FF000000"/>
      </patternFill>
    </fill>
    <fill>
      <patternFill patternType="solid">
        <fgColor rgb="FFE9EFF7"/>
        <bgColor rgb="FF000000"/>
      </patternFill>
    </fill>
    <fill>
      <patternFill patternType="solid">
        <fgColor rgb="FFC6F9C1"/>
        <bgColor rgb="FF000000"/>
      </patternFill>
    </fill>
    <fill>
      <patternFill patternType="solid">
        <fgColor rgb="FFABEDA5"/>
        <bgColor rgb="FF000000"/>
      </patternFill>
    </fill>
    <fill>
      <patternFill patternType="solid">
        <fgColor rgb="FF94D88F"/>
        <bgColor rgb="FF000000"/>
      </patternFill>
    </fill>
    <fill>
      <patternFill patternType="solid">
        <fgColor rgb="FFFFFDBF"/>
        <bgColor rgb="FF000000"/>
      </patternFill>
    </fill>
    <fill>
      <patternFill patternType="solid">
        <fgColor rgb="FFFFFB8C"/>
        <bgColor rgb="FF000000"/>
      </patternFill>
    </fill>
    <fill>
      <patternFill patternType="solid">
        <fgColor rgb="FFFFF843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rgb="FFFF988C"/>
        <bgColor rgb="FF000000"/>
      </patternFill>
    </fill>
    <fill>
      <patternFill patternType="solid">
        <fgColor rgb="FFFF6758"/>
        <bgColor rgb="FF000000"/>
      </patternFill>
    </fill>
    <fill>
      <patternFill patternType="solid">
        <fgColor rgb="FFDBE5F1"/>
        <bgColor rgb="FFFFFFFF"/>
      </patternFill>
    </fill>
    <fill>
      <patternFill patternType="solid">
        <fgColor rgb="FFB7CFE8"/>
        <bgColor rgb="FF000000"/>
      </patternFill>
    </fill>
    <fill>
      <patternFill patternType="solid">
        <fgColor rgb="FFC3D6EB"/>
        <bgColor rgb="FF000000"/>
      </patternFill>
    </fill>
    <fill>
      <patternFill patternType="solid">
        <fgColor rgb="FFDBE5F2"/>
        <bgColor rgb="FF000000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3" tint="-0.24994659260841701"/>
      </left>
      <right style="thin">
        <color theme="3" tint="-0.24994659260841701"/>
      </right>
      <top style="thin">
        <color theme="3" tint="-0.24994659260841701"/>
      </top>
      <bottom style="thin">
        <color theme="3" tint="-0.24994659260841701"/>
      </bottom>
      <diagonal/>
    </border>
    <border>
      <left style="thin">
        <color theme="3" tint="0.59996337778862885"/>
      </left>
      <right style="thin">
        <color theme="3" tint="0.59996337778862885"/>
      </right>
      <top style="thin">
        <color theme="3" tint="0.59996337778862885"/>
      </top>
      <bottom style="thin">
        <color theme="3" tint="0.59996337778862885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hair">
        <color rgb="FFC0C0C0"/>
      </left>
      <right style="hair">
        <color rgb="FFC0C0C0"/>
      </right>
      <top style="thin">
        <color rgb="FF808080"/>
      </top>
      <bottom style="thin">
        <color rgb="FF80808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 diagonalUp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07">
    <xf numFmtId="0" fontId="0" fillId="0" borderId="0"/>
    <xf numFmtId="0" fontId="51" fillId="0" borderId="0"/>
    <xf numFmtId="0" fontId="50" fillId="0" borderId="0"/>
    <xf numFmtId="9" fontId="50" fillId="0" borderId="0" applyFont="0" applyFill="0" applyBorder="0" applyAlignment="0" applyProtection="0"/>
    <xf numFmtId="164" fontId="50" fillId="0" borderId="0" applyFont="0" applyFill="0" applyBorder="0" applyAlignment="0" applyProtection="0"/>
    <xf numFmtId="0" fontId="49" fillId="0" borderId="0"/>
    <xf numFmtId="9" fontId="49" fillId="0" borderId="0" applyFont="0" applyFill="0" applyBorder="0" applyAlignment="0" applyProtection="0"/>
    <xf numFmtId="164" fontId="49" fillId="0" borderId="0" applyFont="0" applyFill="0" applyBorder="0" applyAlignment="0" applyProtection="0"/>
    <xf numFmtId="0" fontId="51" fillId="0" borderId="0"/>
    <xf numFmtId="0" fontId="48" fillId="0" borderId="0"/>
    <xf numFmtId="0" fontId="47" fillId="0" borderId="0"/>
    <xf numFmtId="0" fontId="46" fillId="0" borderId="0"/>
    <xf numFmtId="0" fontId="45" fillId="0" borderId="0"/>
    <xf numFmtId="0" fontId="44" fillId="0" borderId="0"/>
    <xf numFmtId="0" fontId="43" fillId="0" borderId="0"/>
    <xf numFmtId="0" fontId="42" fillId="0" borderId="0"/>
    <xf numFmtId="0" fontId="41" fillId="0" borderId="0"/>
    <xf numFmtId="0" fontId="40" fillId="0" borderId="0"/>
    <xf numFmtId="0" fontId="39" fillId="0" borderId="0"/>
    <xf numFmtId="0" fontId="38" fillId="0" borderId="0"/>
    <xf numFmtId="0" fontId="37" fillId="0" borderId="0"/>
    <xf numFmtId="0" fontId="36" fillId="0" borderId="0"/>
    <xf numFmtId="0" fontId="35" fillId="0" borderId="0"/>
    <xf numFmtId="0" fontId="34" fillId="0" borderId="0"/>
    <xf numFmtId="0" fontId="33" fillId="0" borderId="0"/>
    <xf numFmtId="0" fontId="32" fillId="0" borderId="0"/>
    <xf numFmtId="0" fontId="31" fillId="0" borderId="0"/>
    <xf numFmtId="0" fontId="30" fillId="0" borderId="0"/>
    <xf numFmtId="0" fontId="29" fillId="0" borderId="0"/>
    <xf numFmtId="0" fontId="28" fillId="0" borderId="0"/>
    <xf numFmtId="0" fontId="27" fillId="0" borderId="0"/>
    <xf numFmtId="0" fontId="26" fillId="0" borderId="0"/>
    <xf numFmtId="0" fontId="25" fillId="0" borderId="0"/>
    <xf numFmtId="0" fontId="24" fillId="0" borderId="0"/>
    <xf numFmtId="0" fontId="23" fillId="0" borderId="0"/>
    <xf numFmtId="0" fontId="22" fillId="0" borderId="0"/>
    <xf numFmtId="0" fontId="21" fillId="0" borderId="0"/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43" fontId="63" fillId="0" borderId="0" applyFont="0" applyFill="0" applyBorder="0" applyAlignment="0" applyProtection="0"/>
    <xf numFmtId="0" fontId="14" fillId="0" borderId="0"/>
    <xf numFmtId="0" fontId="13" fillId="0" borderId="0"/>
    <xf numFmtId="0" fontId="68" fillId="6" borderId="0"/>
    <xf numFmtId="9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0" fontId="69" fillId="0" borderId="0"/>
    <xf numFmtId="0" fontId="70" fillId="0" borderId="0"/>
    <xf numFmtId="0" fontId="63" fillId="0" borderId="0"/>
    <xf numFmtId="0" fontId="63" fillId="0" borderId="0"/>
    <xf numFmtId="9" fontId="63" fillId="0" borderId="0" applyFont="0" applyFill="0" applyBorder="0" applyAlignment="0" applyProtection="0"/>
    <xf numFmtId="164" fontId="13" fillId="0" borderId="0" applyFont="0" applyFill="0" applyBorder="0" applyAlignment="0" applyProtection="0"/>
    <xf numFmtId="0" fontId="67" fillId="0" borderId="0"/>
    <xf numFmtId="0" fontId="71" fillId="0" borderId="0"/>
    <xf numFmtId="0" fontId="67" fillId="0" borderId="0"/>
    <xf numFmtId="0" fontId="13" fillId="0" borderId="0"/>
    <xf numFmtId="9" fontId="13" fillId="0" borderId="0" applyFont="0" applyFill="0" applyBorder="0" applyAlignment="0" applyProtection="0"/>
    <xf numFmtId="0" fontId="72" fillId="7" borderId="2" applyNumberFormat="0" applyAlignment="0" applyProtection="0">
      <alignment horizontal="left" vertical="center" indent="1"/>
    </xf>
    <xf numFmtId="167" fontId="73" fillId="0" borderId="3" applyNumberFormat="0" applyProtection="0">
      <alignment horizontal="right" vertical="center"/>
    </xf>
    <xf numFmtId="167" fontId="72" fillId="0" borderId="4" applyNumberFormat="0" applyProtection="0">
      <alignment horizontal="right" vertical="center"/>
    </xf>
    <xf numFmtId="0" fontId="74" fillId="8" borderId="4" applyNumberFormat="0" applyAlignment="0" applyProtection="0">
      <alignment horizontal="left" vertical="center" indent="1"/>
    </xf>
    <xf numFmtId="0" fontId="74" fillId="9" borderId="4" applyNumberFormat="0" applyAlignment="0" applyProtection="0">
      <alignment horizontal="left" vertical="center" indent="1"/>
    </xf>
    <xf numFmtId="167" fontId="73" fillId="10" borderId="3" applyNumberFormat="0" applyBorder="0" applyProtection="0">
      <alignment horizontal="right" vertical="center"/>
    </xf>
    <xf numFmtId="0" fontId="74" fillId="8" borderId="4" applyNumberFormat="0" applyAlignment="0" applyProtection="0">
      <alignment horizontal="left" vertical="center" indent="1"/>
    </xf>
    <xf numFmtId="167" fontId="72" fillId="9" borderId="4" applyNumberFormat="0" applyProtection="0">
      <alignment horizontal="right" vertical="center"/>
    </xf>
    <xf numFmtId="167" fontId="72" fillId="10" borderId="4" applyNumberFormat="0" applyBorder="0" applyProtection="0">
      <alignment horizontal="right" vertical="center"/>
    </xf>
    <xf numFmtId="167" fontId="75" fillId="11" borderId="5" applyNumberFormat="0" applyBorder="0" applyAlignment="0" applyProtection="0">
      <alignment horizontal="right" vertical="center" indent="1"/>
    </xf>
    <xf numFmtId="167" fontId="76" fillId="12" borderId="5" applyNumberFormat="0" applyBorder="0" applyAlignment="0" applyProtection="0">
      <alignment horizontal="right" vertical="center" indent="1"/>
    </xf>
    <xf numFmtId="167" fontId="76" fillId="13" borderId="5" applyNumberFormat="0" applyBorder="0" applyAlignment="0" applyProtection="0">
      <alignment horizontal="right" vertical="center" indent="1"/>
    </xf>
    <xf numFmtId="167" fontId="77" fillId="14" borderId="5" applyNumberFormat="0" applyBorder="0" applyAlignment="0" applyProtection="0">
      <alignment horizontal="right" vertical="center" indent="1"/>
    </xf>
    <xf numFmtId="167" fontId="77" fillId="15" borderId="5" applyNumberFormat="0" applyBorder="0" applyAlignment="0" applyProtection="0">
      <alignment horizontal="right" vertical="center" indent="1"/>
    </xf>
    <xf numFmtId="167" fontId="77" fillId="16" borderId="5" applyNumberFormat="0" applyBorder="0" applyAlignment="0" applyProtection="0">
      <alignment horizontal="right" vertical="center" indent="1"/>
    </xf>
    <xf numFmtId="167" fontId="78" fillId="17" borderId="5" applyNumberFormat="0" applyBorder="0" applyAlignment="0" applyProtection="0">
      <alignment horizontal="right" vertical="center" indent="1"/>
    </xf>
    <xf numFmtId="167" fontId="78" fillId="18" borderId="5" applyNumberFormat="0" applyBorder="0" applyAlignment="0" applyProtection="0">
      <alignment horizontal="right" vertical="center" indent="1"/>
    </xf>
    <xf numFmtId="167" fontId="78" fillId="19" borderId="5" applyNumberFormat="0" applyBorder="0" applyAlignment="0" applyProtection="0">
      <alignment horizontal="right" vertical="center" indent="1"/>
    </xf>
    <xf numFmtId="0" fontId="79" fillId="0" borderId="2" applyNumberFormat="0" applyFont="0" applyFill="0" applyAlignment="0" applyProtection="0"/>
    <xf numFmtId="167" fontId="73" fillId="20" borderId="2" applyNumberFormat="0" applyAlignment="0" applyProtection="0">
      <alignment horizontal="left" vertical="center" indent="1"/>
    </xf>
    <xf numFmtId="0" fontId="72" fillId="7" borderId="4" applyNumberFormat="0" applyAlignment="0" applyProtection="0">
      <alignment horizontal="left" vertical="center" indent="1"/>
    </xf>
    <xf numFmtId="0" fontId="74" fillId="21" borderId="2" applyNumberFormat="0" applyAlignment="0" applyProtection="0">
      <alignment horizontal="left" vertical="center" indent="1"/>
    </xf>
    <xf numFmtId="0" fontId="74" fillId="22" borderId="2" applyNumberFormat="0" applyAlignment="0" applyProtection="0">
      <alignment horizontal="left" vertical="center" indent="1"/>
    </xf>
    <xf numFmtId="0" fontId="74" fillId="23" borderId="2" applyNumberFormat="0" applyAlignment="0" applyProtection="0">
      <alignment horizontal="left" vertical="center" indent="1"/>
    </xf>
    <xf numFmtId="0" fontId="74" fillId="10" borderId="2" applyNumberFormat="0" applyAlignment="0" applyProtection="0">
      <alignment horizontal="left" vertical="center" indent="1"/>
    </xf>
    <xf numFmtId="0" fontId="74" fillId="9" borderId="4" applyNumberFormat="0" applyAlignment="0" applyProtection="0">
      <alignment horizontal="left" vertical="center" indent="1"/>
    </xf>
    <xf numFmtId="0" fontId="80" fillId="0" borderId="6" applyNumberFormat="0" applyFill="0" applyBorder="0" applyAlignment="0" applyProtection="0"/>
    <xf numFmtId="0" fontId="81" fillId="0" borderId="6" applyBorder="0" applyAlignment="0" applyProtection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9" fontId="12" fillId="0" borderId="0" applyFont="0" applyFill="0" applyBorder="0" applyAlignment="0" applyProtection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143">
    <xf numFmtId="0" fontId="0" fillId="0" borderId="0" xfId="0"/>
    <xf numFmtId="0" fontId="55" fillId="0" borderId="0" xfId="0" applyFont="1"/>
    <xf numFmtId="0" fontId="57" fillId="3" borderId="1" xfId="2" applyFont="1" applyFill="1" applyBorder="1" applyAlignment="1">
      <alignment horizontal="left" vertical="center"/>
    </xf>
    <xf numFmtId="10" fontId="52" fillId="3" borderId="0" xfId="2" applyNumberFormat="1" applyFont="1" applyFill="1" applyAlignment="1">
      <alignment vertical="center"/>
    </xf>
    <xf numFmtId="10" fontId="52" fillId="3" borderId="0" xfId="2" applyNumberFormat="1" applyFont="1" applyFill="1" applyAlignment="1">
      <alignment horizontal="center" vertical="center"/>
    </xf>
    <xf numFmtId="0" fontId="53" fillId="0" borderId="0" xfId="2" applyFont="1"/>
    <xf numFmtId="3" fontId="53" fillId="0" borderId="1" xfId="8" applyNumberFormat="1" applyFont="1" applyBorder="1" applyAlignment="1" applyProtection="1">
      <alignment horizontal="left" vertical="center"/>
      <protection locked="0"/>
    </xf>
    <xf numFmtId="3" fontId="53" fillId="0" borderId="1" xfId="8" applyNumberFormat="1" applyFont="1" applyBorder="1" applyAlignment="1" applyProtection="1">
      <alignment horizontal="center" vertical="center"/>
      <protection locked="0"/>
    </xf>
    <xf numFmtId="0" fontId="53" fillId="0" borderId="1" xfId="1" applyFont="1" applyBorder="1" applyAlignment="1">
      <alignment horizontal="center" vertical="center"/>
    </xf>
    <xf numFmtId="165" fontId="54" fillId="0" borderId="1" xfId="2" applyNumberFormat="1" applyFont="1" applyBorder="1" applyAlignment="1">
      <alignment horizontal="center" vertical="center"/>
    </xf>
    <xf numFmtId="165" fontId="54" fillId="0" borderId="1" xfId="2" applyNumberFormat="1" applyFont="1" applyBorder="1" applyAlignment="1">
      <alignment horizontal="left" vertical="center"/>
    </xf>
    <xf numFmtId="0" fontId="58" fillId="0" borderId="0" xfId="0" applyFont="1" applyAlignment="1">
      <alignment horizontal="center" vertical="center"/>
    </xf>
    <xf numFmtId="0" fontId="54" fillId="2" borderId="1" xfId="2" applyFont="1" applyFill="1" applyBorder="1" applyAlignment="1">
      <alignment horizontal="center" vertical="center" wrapText="1"/>
    </xf>
    <xf numFmtId="3" fontId="54" fillId="2" borderId="1" xfId="2" applyNumberFormat="1" applyFont="1" applyFill="1" applyBorder="1" applyAlignment="1">
      <alignment horizontal="center" vertical="center" wrapText="1"/>
    </xf>
    <xf numFmtId="3" fontId="0" fillId="0" borderId="0" xfId="0" applyNumberFormat="1"/>
    <xf numFmtId="0" fontId="64" fillId="3" borderId="0" xfId="0" applyFont="1" applyFill="1" applyAlignment="1">
      <alignment vertical="center"/>
    </xf>
    <xf numFmtId="0" fontId="65" fillId="3" borderId="1" xfId="0" applyFont="1" applyFill="1" applyBorder="1" applyAlignment="1">
      <alignment horizontal="left" vertical="center"/>
    </xf>
    <xf numFmtId="0" fontId="64" fillId="3" borderId="0" xfId="0" applyFont="1" applyFill="1" applyAlignment="1">
      <alignment horizontal="left" vertical="center"/>
    </xf>
    <xf numFmtId="0" fontId="64" fillId="4" borderId="1" xfId="0" applyFont="1" applyFill="1" applyBorder="1" applyAlignment="1">
      <alignment horizontal="left" vertical="center"/>
    </xf>
    <xf numFmtId="0" fontId="55" fillId="4" borderId="0" xfId="0" applyFont="1" applyFill="1"/>
    <xf numFmtId="0" fontId="61" fillId="4" borderId="0" xfId="0" applyFont="1" applyFill="1"/>
    <xf numFmtId="0" fontId="56" fillId="4" borderId="0" xfId="0" applyFont="1" applyFill="1"/>
    <xf numFmtId="0" fontId="62" fillId="4" borderId="0" xfId="0" applyFont="1" applyFill="1"/>
    <xf numFmtId="0" fontId="64" fillId="0" borderId="0" xfId="0" applyFont="1" applyAlignment="1">
      <alignment horizontal="left" vertical="center"/>
    </xf>
    <xf numFmtId="166" fontId="66" fillId="0" borderId="1" xfId="0" applyNumberFormat="1" applyFont="1" applyBorder="1"/>
    <xf numFmtId="0" fontId="60" fillId="2" borderId="1" xfId="0" applyFont="1" applyFill="1" applyBorder="1" applyAlignment="1">
      <alignment horizontal="center" vertical="center"/>
    </xf>
    <xf numFmtId="0" fontId="60" fillId="2" borderId="1" xfId="0" applyFont="1" applyFill="1" applyBorder="1" applyAlignment="1">
      <alignment horizontal="left" vertical="center"/>
    </xf>
    <xf numFmtId="0" fontId="60" fillId="2" borderId="7" xfId="0" applyFont="1" applyFill="1" applyBorder="1" applyAlignment="1">
      <alignment horizontal="left" vertical="center"/>
    </xf>
    <xf numFmtId="0" fontId="82" fillId="2" borderId="1" xfId="0" applyFont="1" applyFill="1" applyBorder="1" applyAlignment="1">
      <alignment horizontal="center" vertical="center"/>
    </xf>
    <xf numFmtId="10" fontId="52" fillId="3" borderId="0" xfId="53" applyNumberFormat="1" applyFont="1" applyFill="1" applyAlignment="1">
      <alignment vertical="center"/>
    </xf>
    <xf numFmtId="0" fontId="57" fillId="3" borderId="1" xfId="53" applyFont="1" applyFill="1" applyBorder="1" applyAlignment="1">
      <alignment horizontal="left" vertical="center"/>
    </xf>
    <xf numFmtId="10" fontId="52" fillId="3" borderId="0" xfId="53" applyNumberFormat="1" applyFont="1" applyFill="1" applyAlignment="1">
      <alignment horizontal="center" vertical="center"/>
    </xf>
    <xf numFmtId="0" fontId="53" fillId="0" borderId="0" xfId="53" applyFont="1"/>
    <xf numFmtId="0" fontId="53" fillId="0" borderId="1" xfId="53" applyFont="1" applyBorder="1" applyAlignment="1">
      <alignment horizontal="center" vertical="center"/>
    </xf>
    <xf numFmtId="3" fontId="53" fillId="0" borderId="7" xfId="8" applyNumberFormat="1" applyFont="1" applyBorder="1" applyAlignment="1" applyProtection="1">
      <alignment horizontal="center" vertical="center"/>
      <protection locked="0"/>
    </xf>
    <xf numFmtId="0" fontId="82" fillId="0" borderId="1" xfId="0" applyFont="1" applyBorder="1" applyAlignment="1">
      <alignment horizontal="center" vertical="center"/>
    </xf>
    <xf numFmtId="0" fontId="83" fillId="0" borderId="0" xfId="0" applyFont="1"/>
    <xf numFmtId="0" fontId="64" fillId="0" borderId="0" xfId="0" applyFont="1" applyAlignment="1">
      <alignment horizontal="center" vertical="center"/>
    </xf>
    <xf numFmtId="4" fontId="64" fillId="0" borderId="0" xfId="0" applyNumberFormat="1" applyFont="1" applyAlignment="1">
      <alignment horizontal="center" vertical="center"/>
    </xf>
    <xf numFmtId="0" fontId="59" fillId="0" borderId="1" xfId="0" applyFont="1" applyBorder="1" applyAlignment="1">
      <alignment horizontal="center" vertical="center" wrapText="1"/>
    </xf>
    <xf numFmtId="1" fontId="53" fillId="4" borderId="1" xfId="0" applyNumberFormat="1" applyFont="1" applyFill="1" applyBorder="1" applyAlignment="1">
      <alignment horizontal="center"/>
    </xf>
    <xf numFmtId="0" fontId="64" fillId="4" borderId="1" xfId="0" applyFont="1" applyFill="1" applyBorder="1" applyAlignment="1">
      <alignment horizontal="center" vertical="center"/>
    </xf>
    <xf numFmtId="0" fontId="60" fillId="25" borderId="1" xfId="0" applyFont="1" applyFill="1" applyBorder="1" applyAlignment="1">
      <alignment horizontal="center" vertical="center"/>
    </xf>
    <xf numFmtId="0" fontId="60" fillId="25" borderId="1" xfId="0" applyFont="1" applyFill="1" applyBorder="1" applyAlignment="1">
      <alignment horizontal="left" vertical="center"/>
    </xf>
    <xf numFmtId="0" fontId="60" fillId="26" borderId="1" xfId="0" applyFont="1" applyFill="1" applyBorder="1" applyAlignment="1">
      <alignment horizontal="center" vertical="center"/>
    </xf>
    <xf numFmtId="0" fontId="60" fillId="26" borderId="1" xfId="0" applyFont="1" applyFill="1" applyBorder="1" applyAlignment="1">
      <alignment horizontal="left" vertical="center"/>
    </xf>
    <xf numFmtId="10" fontId="53" fillId="0" borderId="0" xfId="2" applyNumberFormat="1" applyFont="1" applyAlignment="1">
      <alignment horizontal="center" vertical="center"/>
    </xf>
    <xf numFmtId="3" fontId="64" fillId="24" borderId="1" xfId="0" applyNumberFormat="1" applyFont="1" applyFill="1" applyBorder="1" applyAlignment="1">
      <alignment horizontal="center" vertical="center"/>
    </xf>
    <xf numFmtId="3" fontId="64" fillId="0" borderId="8" xfId="0" applyNumberFormat="1" applyFont="1" applyBorder="1" applyAlignment="1">
      <alignment horizontal="center" vertical="center"/>
    </xf>
    <xf numFmtId="3" fontId="64" fillId="0" borderId="1" xfId="0" applyNumberFormat="1" applyFont="1" applyBorder="1" applyAlignment="1">
      <alignment horizontal="center" vertical="center"/>
    </xf>
    <xf numFmtId="4" fontId="53" fillId="0" borderId="9" xfId="53" applyNumberFormat="1" applyFont="1" applyBorder="1" applyAlignment="1">
      <alignment horizontal="center" vertical="center"/>
    </xf>
    <xf numFmtId="0" fontId="64" fillId="3" borderId="0" xfId="0" applyFont="1" applyFill="1" applyAlignment="1">
      <alignment horizontal="center" vertical="center"/>
    </xf>
    <xf numFmtId="3" fontId="64" fillId="0" borderId="0" xfId="0" applyNumberFormat="1" applyFont="1" applyAlignment="1">
      <alignment horizontal="center" vertical="center"/>
    </xf>
    <xf numFmtId="10" fontId="53" fillId="0" borderId="0" xfId="53" applyNumberFormat="1" applyFont="1" applyAlignment="1">
      <alignment horizontal="center" vertical="center"/>
    </xf>
    <xf numFmtId="0" fontId="53" fillId="0" borderId="0" xfId="53" applyFont="1" applyAlignment="1">
      <alignment horizontal="center" vertical="center"/>
    </xf>
    <xf numFmtId="166" fontId="53" fillId="5" borderId="1" xfId="43" applyNumberFormat="1" applyFont="1" applyFill="1" applyBorder="1" applyAlignment="1">
      <alignment horizontal="center" vertical="center"/>
    </xf>
    <xf numFmtId="0" fontId="55" fillId="0" borderId="0" xfId="0" applyFont="1" applyAlignment="1">
      <alignment horizontal="center" vertical="center"/>
    </xf>
    <xf numFmtId="166" fontId="0" fillId="0" borderId="1" xfId="43" applyNumberFormat="1" applyFont="1" applyBorder="1" applyAlignment="1">
      <alignment horizontal="center" vertical="center"/>
    </xf>
    <xf numFmtId="0" fontId="53" fillId="0" borderId="1" xfId="0" applyFont="1" applyBorder="1" applyAlignment="1">
      <alignment horizontal="center" vertical="center"/>
    </xf>
    <xf numFmtId="3" fontId="53" fillId="5" borderId="1" xfId="53" applyNumberFormat="1" applyFont="1" applyFill="1" applyBorder="1" applyAlignment="1">
      <alignment vertical="center"/>
    </xf>
    <xf numFmtId="3" fontId="53" fillId="0" borderId="1" xfId="53" applyNumberFormat="1" applyFont="1" applyBorder="1" applyAlignment="1">
      <alignment vertical="center"/>
    </xf>
    <xf numFmtId="10" fontId="53" fillId="0" borderId="0" xfId="53" applyNumberFormat="1" applyFont="1" applyAlignment="1">
      <alignment vertical="center"/>
    </xf>
    <xf numFmtId="4" fontId="53" fillId="0" borderId="1" xfId="53" applyNumberFormat="1" applyFont="1" applyBorder="1" applyAlignment="1">
      <alignment vertical="center"/>
    </xf>
    <xf numFmtId="0" fontId="53" fillId="0" borderId="0" xfId="53" applyFont="1" applyAlignment="1">
      <alignment vertical="center"/>
    </xf>
    <xf numFmtId="0" fontId="53" fillId="0" borderId="0" xfId="106" applyFont="1"/>
    <xf numFmtId="0" fontId="53" fillId="0" borderId="0" xfId="106" applyFont="1" applyAlignment="1">
      <alignment horizontal="center"/>
    </xf>
    <xf numFmtId="3" fontId="53" fillId="0" borderId="0" xfId="106" applyNumberFormat="1" applyFont="1" applyAlignment="1">
      <alignment horizontal="center"/>
    </xf>
    <xf numFmtId="0" fontId="59" fillId="27" borderId="1" xfId="106" applyFont="1" applyFill="1" applyBorder="1" applyAlignment="1">
      <alignment horizontal="center" vertical="center" wrapText="1"/>
    </xf>
    <xf numFmtId="0" fontId="86" fillId="27" borderId="8" xfId="106" applyFont="1" applyFill="1" applyBorder="1" applyAlignment="1">
      <alignment horizontal="center" wrapText="1"/>
    </xf>
    <xf numFmtId="0" fontId="86" fillId="27" borderId="1" xfId="106" applyFont="1" applyFill="1" applyBorder="1" applyAlignment="1">
      <alignment horizontal="center" vertical="center" wrapText="1"/>
    </xf>
    <xf numFmtId="3" fontId="86" fillId="28" borderId="1" xfId="106" applyNumberFormat="1" applyFont="1" applyFill="1" applyBorder="1" applyAlignment="1">
      <alignment horizontal="center" wrapText="1"/>
    </xf>
    <xf numFmtId="3" fontId="86" fillId="28" borderId="8" xfId="106" applyNumberFormat="1" applyFont="1" applyFill="1" applyBorder="1" applyAlignment="1">
      <alignment horizontal="center" wrapText="1"/>
    </xf>
    <xf numFmtId="0" fontId="87" fillId="0" borderId="10" xfId="106" applyFont="1" applyBorder="1" applyAlignment="1">
      <alignment horizontal="center" vertical="center" wrapText="1"/>
    </xf>
    <xf numFmtId="0" fontId="86" fillId="0" borderId="10" xfId="106" applyFont="1" applyBorder="1" applyAlignment="1">
      <alignment horizontal="center" wrapText="1"/>
    </xf>
    <xf numFmtId="0" fontId="86" fillId="0" borderId="10" xfId="106" applyFont="1" applyBorder="1" applyAlignment="1">
      <alignment horizontal="center" vertical="center" wrapText="1"/>
    </xf>
    <xf numFmtId="3" fontId="86" fillId="0" borderId="10" xfId="106" applyNumberFormat="1" applyFont="1" applyBorder="1" applyAlignment="1">
      <alignment horizontal="center" wrapText="1"/>
    </xf>
    <xf numFmtId="0" fontId="86" fillId="28" borderId="11" xfId="106" applyFont="1" applyFill="1" applyBorder="1" applyAlignment="1">
      <alignment horizontal="center" vertical="center"/>
    </xf>
    <xf numFmtId="0" fontId="86" fillId="5" borderId="11" xfId="106" applyFont="1" applyFill="1" applyBorder="1" applyAlignment="1">
      <alignment horizontal="center" vertical="center"/>
    </xf>
    <xf numFmtId="0" fontId="88" fillId="29" borderId="12" xfId="106" applyFont="1" applyFill="1" applyBorder="1" applyAlignment="1">
      <alignment horizontal="center" vertical="center"/>
    </xf>
    <xf numFmtId="0" fontId="82" fillId="29" borderId="12" xfId="106" applyFont="1" applyFill="1" applyBorder="1" applyAlignment="1">
      <alignment horizontal="center"/>
    </xf>
    <xf numFmtId="0" fontId="82" fillId="29" borderId="13" xfId="106" applyFont="1" applyFill="1" applyBorder="1" applyAlignment="1">
      <alignment horizontal="center"/>
    </xf>
    <xf numFmtId="3" fontId="86" fillId="29" borderId="11" xfId="106" applyNumberFormat="1" applyFont="1" applyFill="1" applyBorder="1" applyAlignment="1">
      <alignment horizontal="center"/>
    </xf>
    <xf numFmtId="3" fontId="86" fillId="29" borderId="13" xfId="106" applyNumberFormat="1" applyFont="1" applyFill="1" applyBorder="1" applyAlignment="1">
      <alignment horizontal="center"/>
    </xf>
    <xf numFmtId="0" fontId="82" fillId="0" borderId="14" xfId="106" applyFont="1" applyBorder="1" applyAlignment="1">
      <alignment horizontal="center"/>
    </xf>
    <xf numFmtId="0" fontId="82" fillId="0" borderId="0" xfId="106" applyFont="1" applyAlignment="1">
      <alignment horizontal="center"/>
    </xf>
    <xf numFmtId="0" fontId="82" fillId="0" borderId="0" xfId="106" applyFont="1" applyAlignment="1">
      <alignment horizontal="center" vertical="center"/>
    </xf>
    <xf numFmtId="0" fontId="82" fillId="0" borderId="15" xfId="106" applyFont="1" applyBorder="1" applyAlignment="1">
      <alignment horizontal="center" vertical="center"/>
    </xf>
    <xf numFmtId="3" fontId="82" fillId="0" borderId="14" xfId="106" applyNumberFormat="1" applyFont="1" applyBorder="1" applyAlignment="1">
      <alignment horizontal="center"/>
    </xf>
    <xf numFmtId="0" fontId="82" fillId="0" borderId="16" xfId="106" applyFont="1" applyBorder="1" applyAlignment="1">
      <alignment horizontal="center"/>
    </xf>
    <xf numFmtId="0" fontId="82" fillId="0" borderId="17" xfId="106" applyFont="1" applyBorder="1" applyAlignment="1">
      <alignment horizontal="center"/>
    </xf>
    <xf numFmtId="0" fontId="89" fillId="0" borderId="17" xfId="106" applyFont="1" applyBorder="1" applyAlignment="1">
      <alignment horizontal="center" vertical="center"/>
    </xf>
    <xf numFmtId="0" fontId="89" fillId="0" borderId="18" xfId="106" applyFont="1" applyBorder="1" applyAlignment="1">
      <alignment horizontal="center" vertical="center"/>
    </xf>
    <xf numFmtId="3" fontId="82" fillId="0" borderId="16" xfId="106" applyNumberFormat="1" applyFont="1" applyBorder="1" applyAlignment="1">
      <alignment horizontal="center"/>
    </xf>
    <xf numFmtId="0" fontId="82" fillId="0" borderId="17" xfId="106" applyFont="1" applyBorder="1" applyAlignment="1">
      <alignment horizontal="center" vertical="center"/>
    </xf>
    <xf numFmtId="0" fontId="82" fillId="0" borderId="18" xfId="106" applyFont="1" applyBorder="1" applyAlignment="1">
      <alignment horizontal="center" vertical="center"/>
    </xf>
    <xf numFmtId="0" fontId="82" fillId="0" borderId="19" xfId="106" applyFont="1" applyBorder="1"/>
    <xf numFmtId="0" fontId="86" fillId="29" borderId="11" xfId="106" applyFont="1" applyFill="1" applyBorder="1" applyAlignment="1">
      <alignment horizontal="center" vertical="center"/>
    </xf>
    <xf numFmtId="0" fontId="82" fillId="0" borderId="0" xfId="106" applyFont="1"/>
    <xf numFmtId="0" fontId="82" fillId="0" borderId="20" xfId="106" applyFont="1" applyBorder="1"/>
    <xf numFmtId="0" fontId="82" fillId="0" borderId="21" xfId="106" applyFont="1" applyBorder="1"/>
    <xf numFmtId="0" fontId="86" fillId="29" borderId="14" xfId="106" applyFont="1" applyFill="1" applyBorder="1" applyAlignment="1">
      <alignment horizontal="center" vertical="center"/>
    </xf>
    <xf numFmtId="0" fontId="82" fillId="4" borderId="17" xfId="106" applyFont="1" applyFill="1" applyBorder="1" applyAlignment="1">
      <alignment horizontal="center" vertical="center"/>
    </xf>
    <xf numFmtId="0" fontId="82" fillId="4" borderId="18" xfId="106" applyFont="1" applyFill="1" applyBorder="1" applyAlignment="1">
      <alignment horizontal="center" vertical="center"/>
    </xf>
    <xf numFmtId="3" fontId="86" fillId="29" borderId="14" xfId="106" applyNumberFormat="1" applyFont="1" applyFill="1" applyBorder="1" applyAlignment="1">
      <alignment horizontal="center"/>
    </xf>
    <xf numFmtId="3" fontId="86" fillId="29" borderId="15" xfId="106" applyNumberFormat="1" applyFont="1" applyFill="1" applyBorder="1" applyAlignment="1">
      <alignment horizontal="center"/>
    </xf>
    <xf numFmtId="0" fontId="82" fillId="0" borderId="20" xfId="106" applyFont="1" applyBorder="1" applyAlignment="1">
      <alignment horizontal="center"/>
    </xf>
    <xf numFmtId="0" fontId="82" fillId="0" borderId="21" xfId="106" applyFont="1" applyBorder="1" applyAlignment="1">
      <alignment horizontal="center"/>
    </xf>
    <xf numFmtId="0" fontId="90" fillId="28" borderId="11" xfId="106" applyFont="1" applyFill="1" applyBorder="1" applyAlignment="1">
      <alignment horizontal="center" vertical="center"/>
    </xf>
    <xf numFmtId="0" fontId="90" fillId="5" borderId="11" xfId="106" applyFont="1" applyFill="1" applyBorder="1" applyAlignment="1">
      <alignment horizontal="center" vertical="center"/>
    </xf>
    <xf numFmtId="0" fontId="90" fillId="29" borderId="12" xfId="106" applyFont="1" applyFill="1" applyBorder="1" applyAlignment="1">
      <alignment horizontal="center" vertical="center"/>
    </xf>
    <xf numFmtId="0" fontId="91" fillId="29" borderId="12" xfId="106" applyFont="1" applyFill="1" applyBorder="1" applyAlignment="1">
      <alignment horizontal="center"/>
    </xf>
    <xf numFmtId="0" fontId="91" fillId="29" borderId="13" xfId="106" applyFont="1" applyFill="1" applyBorder="1" applyAlignment="1">
      <alignment horizontal="center"/>
    </xf>
    <xf numFmtId="3" fontId="90" fillId="29" borderId="11" xfId="106" applyNumberFormat="1" applyFont="1" applyFill="1" applyBorder="1" applyAlignment="1">
      <alignment horizontal="center"/>
    </xf>
    <xf numFmtId="3" fontId="90" fillId="29" borderId="13" xfId="106" applyNumberFormat="1" applyFont="1" applyFill="1" applyBorder="1" applyAlignment="1">
      <alignment horizontal="center"/>
    </xf>
    <xf numFmtId="0" fontId="92" fillId="0" borderId="0" xfId="106" applyFont="1"/>
    <xf numFmtId="0" fontId="91" fillId="0" borderId="14" xfId="106" applyFont="1" applyBorder="1" applyAlignment="1">
      <alignment horizontal="center"/>
    </xf>
    <xf numFmtId="0" fontId="91" fillId="0" borderId="0" xfId="106" applyFont="1" applyAlignment="1">
      <alignment horizontal="center"/>
    </xf>
    <xf numFmtId="0" fontId="89" fillId="0" borderId="0" xfId="106" applyFont="1" applyAlignment="1">
      <alignment horizontal="center" vertical="center"/>
    </xf>
    <xf numFmtId="0" fontId="89" fillId="0" borderId="15" xfId="106" applyFont="1" applyBorder="1" applyAlignment="1">
      <alignment horizontal="center" vertical="center"/>
    </xf>
    <xf numFmtId="3" fontId="91" fillId="0" borderId="14" xfId="106" applyNumberFormat="1" applyFont="1" applyBorder="1" applyAlignment="1">
      <alignment horizontal="center"/>
    </xf>
    <xf numFmtId="0" fontId="91" fillId="0" borderId="16" xfId="106" applyFont="1" applyBorder="1" applyAlignment="1">
      <alignment horizontal="center"/>
    </xf>
    <xf numFmtId="0" fontId="91" fillId="0" borderId="17" xfId="106" applyFont="1" applyBorder="1" applyAlignment="1">
      <alignment horizontal="center"/>
    </xf>
    <xf numFmtId="3" fontId="91" fillId="0" borderId="16" xfId="106" applyNumberFormat="1" applyFont="1" applyBorder="1" applyAlignment="1">
      <alignment horizontal="center"/>
    </xf>
    <xf numFmtId="0" fontId="88" fillId="29" borderId="0" xfId="106" applyFont="1" applyFill="1" applyAlignment="1">
      <alignment horizontal="center" vertical="center"/>
    </xf>
    <xf numFmtId="0" fontId="82" fillId="29" borderId="0" xfId="106" applyFont="1" applyFill="1" applyAlignment="1">
      <alignment horizontal="center"/>
    </xf>
    <xf numFmtId="0" fontId="82" fillId="29" borderId="15" xfId="106" applyFont="1" applyFill="1" applyBorder="1" applyAlignment="1">
      <alignment horizontal="center"/>
    </xf>
    <xf numFmtId="0" fontId="91" fillId="29" borderId="0" xfId="106" applyFont="1" applyFill="1" applyAlignment="1">
      <alignment horizontal="center"/>
    </xf>
    <xf numFmtId="0" fontId="91" fillId="0" borderId="0" xfId="106" applyFont="1" applyAlignment="1">
      <alignment horizontal="center" vertical="center"/>
    </xf>
    <xf numFmtId="0" fontId="91" fillId="0" borderId="15" xfId="106" applyFont="1" applyBorder="1" applyAlignment="1">
      <alignment horizontal="center" vertical="center"/>
    </xf>
    <xf numFmtId="0" fontId="91" fillId="0" borderId="17" xfId="106" applyFont="1" applyBorder="1" applyAlignment="1">
      <alignment horizontal="center" vertical="center"/>
    </xf>
    <xf numFmtId="0" fontId="91" fillId="0" borderId="18" xfId="106" applyFont="1" applyBorder="1" applyAlignment="1">
      <alignment horizontal="center" vertical="center"/>
    </xf>
    <xf numFmtId="0" fontId="88" fillId="29" borderId="19" xfId="106" applyFont="1" applyFill="1" applyBorder="1" applyAlignment="1">
      <alignment horizontal="center" vertical="center"/>
    </xf>
    <xf numFmtId="0" fontId="91" fillId="0" borderId="20" xfId="106" applyFont="1" applyBorder="1" applyAlignment="1">
      <alignment horizontal="center"/>
    </xf>
    <xf numFmtId="0" fontId="91" fillId="0" borderId="21" xfId="106" applyFont="1" applyBorder="1" applyAlignment="1">
      <alignment horizontal="center"/>
    </xf>
    <xf numFmtId="3" fontId="64" fillId="4" borderId="1" xfId="0" applyNumberFormat="1" applyFont="1" applyFill="1" applyBorder="1" applyAlignment="1">
      <alignment horizontal="center" vertical="center"/>
    </xf>
    <xf numFmtId="0" fontId="64" fillId="4" borderId="0" xfId="0" applyFont="1" applyFill="1" applyAlignment="1">
      <alignment horizontal="left" vertical="center"/>
    </xf>
    <xf numFmtId="0" fontId="60" fillId="4" borderId="1" xfId="0" applyFont="1" applyFill="1" applyBorder="1" applyAlignment="1">
      <alignment horizontal="left" vertical="center"/>
    </xf>
    <xf numFmtId="0" fontId="60" fillId="4" borderId="0" xfId="0" applyFont="1" applyFill="1" applyAlignment="1">
      <alignment horizontal="left" vertical="center"/>
    </xf>
    <xf numFmtId="0" fontId="0" fillId="0" borderId="1" xfId="0" applyBorder="1"/>
    <xf numFmtId="0" fontId="0" fillId="4" borderId="1" xfId="0" applyFill="1" applyBorder="1"/>
    <xf numFmtId="0" fontId="0" fillId="3" borderId="1" xfId="0" applyFill="1" applyBorder="1"/>
    <xf numFmtId="0" fontId="93" fillId="3" borderId="1" xfId="0" applyFont="1" applyFill="1" applyBorder="1"/>
    <xf numFmtId="0" fontId="54" fillId="2" borderId="1" xfId="53" applyFont="1" applyFill="1" applyBorder="1" applyAlignment="1">
      <alignment horizontal="center" vertical="center" wrapText="1"/>
    </xf>
  </cellXfs>
  <cellStyles count="107">
    <cellStyle name="Comma 2" xfId="4" xr:uid="{B38FE662-296D-474A-B5DF-F306D4D6DD77}"/>
    <cellStyle name="Comma 2 2" xfId="49" xr:uid="{27453D3A-B145-4587-A6F2-3D43DED3C598}"/>
    <cellStyle name="Comma 2 3" xfId="92" xr:uid="{1DE1C810-25E8-454E-B513-EA896FBFF92C}"/>
    <cellStyle name="Comma 3" xfId="7" xr:uid="{7C2D3881-2B7C-4093-B5B0-6B36AC0636DA}"/>
    <cellStyle name="Comma 3 2" xfId="55" xr:uid="{96047EAF-4DD0-4D45-9FAF-E9BA408B0C76}"/>
    <cellStyle name="Comma 3 3" xfId="93" xr:uid="{8CE68BED-080D-41F3-A8AE-B4797D75CB66}"/>
    <cellStyle name="Comma 4" xfId="48" xr:uid="{46F1EE88-115C-46F0-BACC-F5165590C104}"/>
    <cellStyle name="Comma 5" xfId="91" xr:uid="{3B56A7D9-F8EE-4AA6-AF4A-E842C1714230}"/>
    <cellStyle name="Normal" xfId="0" builtinId="0"/>
    <cellStyle name="Normal 10" xfId="16" xr:uid="{2AF90951-F4E3-4DCF-9F08-093F62DAC8B6}"/>
    <cellStyle name="Normal 11" xfId="17" xr:uid="{95C7E2C3-2889-4186-875F-D39D1EC813BD}"/>
    <cellStyle name="Normal 11 2" xfId="56" xr:uid="{A319DA46-3C7E-45BF-B91F-8AA272DA6C3D}"/>
    <cellStyle name="Normal 12" xfId="18" xr:uid="{BA4D6B01-8DA8-4210-9893-556E07026E74}"/>
    <cellStyle name="Normal 13" xfId="19" xr:uid="{3B910343-A2E3-4194-9348-D7CAB2CBA8E7}"/>
    <cellStyle name="Normal 14" xfId="20" xr:uid="{565E8C23-18C8-46E1-94E0-1DF169279C2E}"/>
    <cellStyle name="Normal 15" xfId="21" xr:uid="{9EB37C83-7CF5-4C66-9EF0-E36053A906C7}"/>
    <cellStyle name="Normal 16" xfId="22" xr:uid="{0798C0A9-9C2A-453A-B43D-3BA01C92C6AA}"/>
    <cellStyle name="Normal 17" xfId="23" xr:uid="{8BACB177-FF1A-4D70-9B48-CF50D1BB694C}"/>
    <cellStyle name="Normal 18" xfId="24" xr:uid="{F104D5E4-B3DD-46FA-8348-4A709EF9E3D5}"/>
    <cellStyle name="Normal 19" xfId="25" xr:uid="{A29AC309-7CF5-4BE9-9312-BA140EB6E391}"/>
    <cellStyle name="Normal 2" xfId="2" xr:uid="{D66FDB1D-EF94-4548-AC24-5121329DB3DD}"/>
    <cellStyle name="Normal 2 10" xfId="100" xr:uid="{D5E1E5E3-F242-4961-8F55-D20A9F6CA531}"/>
    <cellStyle name="Normal 2 11" xfId="101" xr:uid="{E4CDD68B-CF4E-46E8-AE16-22E5CE000D42}"/>
    <cellStyle name="Normal 2 12" xfId="102" xr:uid="{BDEE7CE3-6492-4E17-9D74-BA33564D6B50}"/>
    <cellStyle name="Normal 2 13" xfId="103" xr:uid="{A3B63135-BF6A-4D91-8C2C-FAC05F5538FD}"/>
    <cellStyle name="Normal 2 14" xfId="104" xr:uid="{D091C027-0371-4516-9C09-DAD0AAFC9284}"/>
    <cellStyle name="Normal 2 15" xfId="105" xr:uid="{4FDA06C1-6CA6-4EAF-B6C6-10EA4BCA3290}"/>
    <cellStyle name="Normal 2 16" xfId="106" xr:uid="{194984CF-424B-40A8-B161-148CDBB06F28}"/>
    <cellStyle name="Normal 2 2" xfId="9" xr:uid="{C9CB085C-7EBE-4CFF-9039-5BDF19BD9A84}"/>
    <cellStyle name="Normal 2 2 2" xfId="53" xr:uid="{36072575-7CAC-499A-ADE3-F05F51322A85}"/>
    <cellStyle name="Normal 2 3" xfId="42" xr:uid="{419E76B9-A4EA-4E4B-8008-7DD2FFAB1872}"/>
    <cellStyle name="Normal 2 3 2" xfId="58" xr:uid="{CE3FDF5A-B205-4449-99CD-8BEF769E31F3}"/>
    <cellStyle name="Normal 2 4" xfId="44" xr:uid="{8B5696D8-DFD4-4F3E-A6EB-FDF81DD841E6}"/>
    <cellStyle name="Normal 2 4 2" xfId="57" xr:uid="{7FD251A3-EDAE-4817-85FE-BA7DC03B6665}"/>
    <cellStyle name="Normal 2 5" xfId="50" xr:uid="{F07EAD21-80EC-4D9F-8F1E-0D3620B471A9}"/>
    <cellStyle name="Normal 2 6" xfId="96" xr:uid="{9FBFDEA8-A0EF-4685-B829-E4836CB4D5AA}"/>
    <cellStyle name="Normal 2 7" xfId="97" xr:uid="{A1ED6ADA-02A7-431F-99C8-3CDFEF38771F}"/>
    <cellStyle name="Normal 2 8" xfId="98" xr:uid="{D3B5FB18-1540-4FBD-B493-1ECAD97E4945}"/>
    <cellStyle name="Normal 2 9" xfId="99" xr:uid="{B1D89C11-1FF2-4656-95FB-88379F13B5AE}"/>
    <cellStyle name="Normal 20" xfId="26" xr:uid="{0B33DD0D-F4B2-40B6-8984-E85D705386DF}"/>
    <cellStyle name="Normal 21" xfId="27" xr:uid="{5C5A3D24-BA48-479F-AEA6-574210391DDB}"/>
    <cellStyle name="Normal 22" xfId="28" xr:uid="{008E92C9-4046-4613-B249-EE571E573B97}"/>
    <cellStyle name="Normal 23" xfId="29" xr:uid="{319087D3-A553-455F-99ED-627BC81EA873}"/>
    <cellStyle name="Normal 24" xfId="30" xr:uid="{D5F6B2B9-AA76-4AF3-9D0E-76927CFCBCEE}"/>
    <cellStyle name="Normal 25" xfId="31" xr:uid="{05E2FF61-87EF-4164-8BF8-581CB899AAF9}"/>
    <cellStyle name="Normal 26" xfId="32" xr:uid="{783ACD2A-9F1F-42D3-9148-FFD62A30FDA3}"/>
    <cellStyle name="Normal 27" xfId="33" xr:uid="{6F59587E-0AF6-4C13-8E90-F7261FCA6F31}"/>
    <cellStyle name="Normal 28" xfId="34" xr:uid="{E6A2C63A-D97A-406F-9B19-A29E851A4938}"/>
    <cellStyle name="Normal 29" xfId="35" xr:uid="{6839A08F-7275-43CD-9945-A95D9A406660}"/>
    <cellStyle name="Normal 3" xfId="5" xr:uid="{4CDF31CC-B6C5-4E8F-B3DD-D214E8345EF5}"/>
    <cellStyle name="Normal 3 2" xfId="59" xr:uid="{0AAAEAAA-E271-4FE6-BA1D-2FF652A7CC05}"/>
    <cellStyle name="Normal 3 2 2" xfId="94" xr:uid="{F3C27BF6-3FD2-48E5-9A3E-42AF2771CFA9}"/>
    <cellStyle name="Normal 3 3" xfId="52" xr:uid="{E6068F9E-0C2F-4B98-BF45-662E80B2E3D8}"/>
    <cellStyle name="Normal 30" xfId="36" xr:uid="{B0EEEAB4-5D69-48F5-8D70-FC7AB9414C1D}"/>
    <cellStyle name="Normal 31" xfId="37" xr:uid="{3917A6BB-4CF6-4383-A3CC-B2DF3FB9BC73}"/>
    <cellStyle name="Normal 32" xfId="38" xr:uid="{5494F384-FC18-40DB-932F-9F13697A9B71}"/>
    <cellStyle name="Normal 33" xfId="39" xr:uid="{3B88A74A-0F39-4A6C-8C01-7464ADA64F68}"/>
    <cellStyle name="Normal 34" xfId="40" xr:uid="{BE05A2C4-5EAB-4430-B92D-2544691233AA}"/>
    <cellStyle name="Normal 35" xfId="41" xr:uid="{0B616892-5135-4743-BEB2-2B1A9EBEA478}"/>
    <cellStyle name="Normal 36" xfId="45" xr:uid="{C45FB79B-41BC-4657-8232-FC64A1F4D2EB}"/>
    <cellStyle name="Normal 37" xfId="89" xr:uid="{7FE5AEDC-43AB-4114-8514-1D3026D41BAB}"/>
    <cellStyle name="Normal 4" xfId="10" xr:uid="{C12B8233-41A9-40AB-942A-1EA852CD3CBA}"/>
    <cellStyle name="Normal 4 2" xfId="51" xr:uid="{D9018B4F-B204-48D9-8BCA-B6B50684F594}"/>
    <cellStyle name="Normal 5" xfId="11" xr:uid="{1B8231C5-CF20-4292-9636-1CE7A32246D7}"/>
    <cellStyle name="Normal 6" xfId="12" xr:uid="{0E49487D-12F5-4243-B410-EB0C1F4541BC}"/>
    <cellStyle name="Normal 7" xfId="13" xr:uid="{45CC69D8-696E-488F-9CF7-E0881E18D577}"/>
    <cellStyle name="Normal 8" xfId="14" xr:uid="{A6FD24A6-D8A3-4F7D-B60F-28B7D9AB40E0}"/>
    <cellStyle name="Normal 9" xfId="15" xr:uid="{8B4481EF-3738-45DC-93FE-9063F7EB7FB5}"/>
    <cellStyle name="Normal_Sheet1" xfId="8" xr:uid="{71718BA9-74CE-421B-8C76-96FAEC60EE84}"/>
    <cellStyle name="Percent 2" xfId="3" xr:uid="{CA7097DC-5F5A-4A96-9CC5-2BD28CEA59AE}"/>
    <cellStyle name="Percent 2 2" xfId="54" xr:uid="{33A21211-CCCB-4963-9318-7AB075B1D7EB}"/>
    <cellStyle name="Percent 3" xfId="6" xr:uid="{96A3B4F6-824E-45BB-A189-C7AF551CE26F}"/>
    <cellStyle name="Percent 3 2" xfId="60" xr:uid="{278C46EF-7738-4DF0-B131-6234891FA6E5}"/>
    <cellStyle name="Percent 3 3" xfId="95" xr:uid="{BB4B2FE9-1A58-46BB-A92A-9038DAE21D7F}"/>
    <cellStyle name="Percent 4" xfId="47" xr:uid="{EA9AB141-9DA8-4857-91F4-1CE0059A6718}"/>
    <cellStyle name="Percent 5" xfId="90" xr:uid="{EA2C642B-9848-4D4A-8943-50744FBBBAD3}"/>
    <cellStyle name="RowLevel_" xfId="46" xr:uid="{E53EA999-9B51-48D3-8873-5081760E7B3C}"/>
    <cellStyle name="SAPBorder" xfId="79" xr:uid="{848B5ABD-A07B-4BCF-BCD5-F1CE938DCDF9}"/>
    <cellStyle name="SAPDataCell" xfId="62" xr:uid="{82B82A00-55B2-48D2-8A56-503C2DE09294}"/>
    <cellStyle name="SAPDataTotalCell" xfId="63" xr:uid="{D2D0C21A-DB29-48AE-9E82-7EF859AD697B}"/>
    <cellStyle name="SAPDimensionCell" xfId="61" xr:uid="{CE70E5E9-853C-4BF1-8052-66C9B3B6B418}"/>
    <cellStyle name="SAPEditableDataCell" xfId="64" xr:uid="{E47F70B5-4D8F-439F-8131-46B5590625E0}"/>
    <cellStyle name="SAPEditableDataTotalCell" xfId="67" xr:uid="{76108139-3E1A-4C7F-93F3-256E4E35790E}"/>
    <cellStyle name="SAPEmphasized" xfId="87" xr:uid="{6D8ECE12-03D4-454B-90C5-12B95A25D3E0}"/>
    <cellStyle name="SAPEmphasizedTotal" xfId="88" xr:uid="{B2CC5F18-1DA4-4E96-9666-E456F66E76A0}"/>
    <cellStyle name="SAPExceptionLevel1" xfId="70" xr:uid="{E216A5A2-2640-4280-8B69-C83DF3B00209}"/>
    <cellStyle name="SAPExceptionLevel2" xfId="71" xr:uid="{A12A4AF3-7D17-4DA5-A9E2-FDAF97A2CC45}"/>
    <cellStyle name="SAPExceptionLevel3" xfId="72" xr:uid="{A043FE0A-9BA1-4219-A556-985FDAF2D02A}"/>
    <cellStyle name="SAPExceptionLevel4" xfId="73" xr:uid="{DE301D8D-3918-4069-A39A-B511C65C2585}"/>
    <cellStyle name="SAPExceptionLevel5" xfId="74" xr:uid="{5E81F3AD-88F8-4BFA-BB70-1E35E556063C}"/>
    <cellStyle name="SAPExceptionLevel6" xfId="75" xr:uid="{930BE5E8-2811-490C-9EB1-08364AC3E6A0}"/>
    <cellStyle name="SAPExceptionLevel7" xfId="76" xr:uid="{18224B47-2632-4E9C-B9FD-C704C1FEC3E1}"/>
    <cellStyle name="SAPExceptionLevel8" xfId="77" xr:uid="{A4F670C3-6E99-4FD5-904B-7DAFAA5FB16C}"/>
    <cellStyle name="SAPExceptionLevel9" xfId="78" xr:uid="{B7472406-35CF-4725-B07A-A40B004E2356}"/>
    <cellStyle name="SAPHierarchyCell0" xfId="82" xr:uid="{C17F9745-D510-45F5-9DDE-5F8CC2E37378}"/>
    <cellStyle name="SAPHierarchyCell1" xfId="83" xr:uid="{D0C518E6-C310-4920-9CCF-5D65E5A1064F}"/>
    <cellStyle name="SAPHierarchyCell2" xfId="84" xr:uid="{F8CDB4FB-E379-4F88-8A5C-93DDFDBD9C9B}"/>
    <cellStyle name="SAPHierarchyCell3" xfId="85" xr:uid="{A7E0F57E-CA14-40E9-A1A4-ED8D48951FEF}"/>
    <cellStyle name="SAPHierarchyCell4" xfId="86" xr:uid="{EC6D3BF1-FE07-4BB2-8E24-B9353A46A738}"/>
    <cellStyle name="SAPLockedDataCell" xfId="66" xr:uid="{D6E2A9AB-0BDE-4EE2-919B-6C48323839B9}"/>
    <cellStyle name="SAPLockedDataTotalCell" xfId="69" xr:uid="{07D1FAF6-2B65-4C59-955C-8D87DF066654}"/>
    <cellStyle name="SAPMemberCell" xfId="80" xr:uid="{646D53D8-ED06-4B58-9A3A-C712FCAD728C}"/>
    <cellStyle name="SAPMemberTotalCell" xfId="81" xr:uid="{9F773273-3EB3-46D1-AE6F-6A97C45648F1}"/>
    <cellStyle name="SAPReadonlyDataCell" xfId="65" xr:uid="{2FDE46F1-E6BE-4EDF-A476-B1F25196B959}"/>
    <cellStyle name="SAPReadonlyDataTotalCell" xfId="68" xr:uid="{212BF157-C436-4989-900C-79E55747B757}"/>
    <cellStyle name="Style 1" xfId="1" xr:uid="{D9EC1C4B-B361-41B2-A917-F011FE81E4A4}"/>
    <cellStyle name="Virgül" xfId="43" builtinId="3"/>
  </cellStyles>
  <dxfs count="2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</dxfs>
  <tableStyles count="1" defaultTableStyle="TableStyleMedium2" defaultPivotStyle="PivotStyleLight16">
    <tableStyle name="Invisible" pivot="0" table="0" count="0" xr9:uid="{8BFD872E-06FE-4FF8-B5A7-B67D6BC9C509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2.bin"/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S178"/>
  <sheetViews>
    <sheetView showGridLines="0" tabSelected="1" zoomScale="98" zoomScaleNormal="98" zoomScaleSheetLayoutView="56" workbookViewId="0">
      <selection activeCell="Q5" sqref="Q5"/>
    </sheetView>
  </sheetViews>
  <sheetFormatPr defaultColWidth="8.85546875" defaultRowHeight="12"/>
  <cols>
    <col min="1" max="1" width="17.42578125" style="1" bestFit="1" customWidth="1"/>
    <col min="2" max="2" width="17.140625" style="1" customWidth="1"/>
    <col min="3" max="3" width="110.140625" style="1" customWidth="1"/>
    <col min="4" max="4" width="14.140625" style="1" customWidth="1"/>
    <col min="5" max="5" width="10" style="1" bestFit="1" customWidth="1"/>
    <col min="6" max="6" width="9.85546875" style="56" bestFit="1" customWidth="1"/>
    <col min="7" max="7" width="9" style="56" bestFit="1" customWidth="1"/>
    <col min="8" max="8" width="8.85546875" style="56" bestFit="1" customWidth="1"/>
    <col min="9" max="9" width="9.85546875" style="56" bestFit="1" customWidth="1"/>
    <col min="10" max="10" width="9" style="56" bestFit="1" customWidth="1"/>
    <col min="11" max="11" width="8.85546875" style="56" bestFit="1" customWidth="1"/>
    <col min="12" max="12" width="9.85546875" style="56" bestFit="1" customWidth="1"/>
    <col min="13" max="13" width="9" style="56" bestFit="1" customWidth="1"/>
    <col min="14" max="14" width="8.85546875" style="56" bestFit="1" customWidth="1"/>
    <col min="15" max="15" width="11.85546875" style="56" customWidth="1"/>
    <col min="16" max="16" width="9.85546875" style="56" bestFit="1" customWidth="1"/>
    <col min="17" max="19" width="11.42578125" style="56" bestFit="1" customWidth="1"/>
    <col min="20" max="16384" width="8.85546875" style="1"/>
  </cols>
  <sheetData>
    <row r="1" spans="1:19" ht="48">
      <c r="E1" s="142"/>
      <c r="F1" s="12" t="s">
        <v>0</v>
      </c>
      <c r="G1" s="12" t="s">
        <v>163</v>
      </c>
      <c r="H1" s="13" t="s">
        <v>2</v>
      </c>
      <c r="I1" s="12" t="s">
        <v>0</v>
      </c>
      <c r="J1" s="12" t="s">
        <v>1</v>
      </c>
      <c r="K1" s="13" t="s">
        <v>2</v>
      </c>
      <c r="L1" s="12" t="s">
        <v>0</v>
      </c>
      <c r="M1" s="12" t="s">
        <v>3</v>
      </c>
      <c r="N1" s="13" t="s">
        <v>2</v>
      </c>
      <c r="O1" s="39" t="s">
        <v>272</v>
      </c>
      <c r="P1" s="39" t="s">
        <v>268</v>
      </c>
      <c r="Q1" s="39" t="s">
        <v>269</v>
      </c>
      <c r="R1" s="39" t="s">
        <v>270</v>
      </c>
      <c r="S1" s="39" t="s">
        <v>271</v>
      </c>
    </row>
    <row r="2" spans="1:19" ht="12.75">
      <c r="A2" s="9" t="s">
        <v>4</v>
      </c>
      <c r="B2" s="10" t="s">
        <v>8</v>
      </c>
      <c r="C2" s="10" t="s">
        <v>6</v>
      </c>
      <c r="D2" s="9" t="s">
        <v>9</v>
      </c>
      <c r="E2" s="5"/>
      <c r="F2" s="46"/>
      <c r="G2" s="46"/>
      <c r="H2" s="46"/>
      <c r="I2" s="46"/>
      <c r="J2" s="46"/>
      <c r="K2" s="46"/>
      <c r="L2" s="46"/>
      <c r="M2" s="46"/>
      <c r="N2" s="46"/>
    </row>
    <row r="3" spans="1:19" ht="12.75">
      <c r="A3" s="3"/>
      <c r="B3" s="2" t="s">
        <v>5</v>
      </c>
      <c r="C3" s="3"/>
      <c r="D3" s="4"/>
      <c r="E3" s="5"/>
      <c r="F3" s="46"/>
      <c r="G3" s="46"/>
      <c r="H3" s="46"/>
      <c r="I3" s="46"/>
      <c r="J3" s="46"/>
      <c r="K3" s="46"/>
      <c r="L3" s="46"/>
      <c r="M3" s="46"/>
      <c r="N3" s="46"/>
    </row>
    <row r="4" spans="1:19" ht="12.75">
      <c r="A4" s="28">
        <v>7768270162</v>
      </c>
      <c r="B4" s="6" t="s">
        <v>206</v>
      </c>
      <c r="C4" s="6" t="s">
        <v>220</v>
      </c>
      <c r="D4" s="7" t="s">
        <v>7</v>
      </c>
      <c r="E4" s="49">
        <v>17074</v>
      </c>
      <c r="F4" s="48">
        <v>5692</v>
      </c>
      <c r="G4" s="49">
        <v>5691</v>
      </c>
      <c r="H4" s="47">
        <v>17074</v>
      </c>
      <c r="I4" s="49">
        <v>3613</v>
      </c>
      <c r="J4" s="49">
        <v>3614</v>
      </c>
      <c r="K4" s="47">
        <v>18069</v>
      </c>
      <c r="L4" s="49">
        <v>2319</v>
      </c>
      <c r="M4" s="49">
        <v>2323</v>
      </c>
      <c r="N4" s="47">
        <v>20903</v>
      </c>
      <c r="O4" s="50"/>
      <c r="P4" s="50"/>
      <c r="Q4" s="50"/>
      <c r="R4" s="50"/>
      <c r="S4" s="50"/>
    </row>
    <row r="5" spans="1:19" ht="12.75">
      <c r="A5" s="28">
        <v>7768270165</v>
      </c>
      <c r="B5" s="6" t="s">
        <v>205</v>
      </c>
      <c r="C5" s="6" t="s">
        <v>221</v>
      </c>
      <c r="D5" s="7" t="s">
        <v>7</v>
      </c>
      <c r="E5" s="49">
        <v>17074</v>
      </c>
      <c r="F5" s="48">
        <v>5692</v>
      </c>
      <c r="G5" s="49">
        <v>5691</v>
      </c>
      <c r="H5" s="47">
        <v>17074</v>
      </c>
      <c r="I5" s="49">
        <v>3613</v>
      </c>
      <c r="J5" s="49">
        <v>3614</v>
      </c>
      <c r="K5" s="47">
        <v>18069</v>
      </c>
      <c r="L5" s="49">
        <v>2319</v>
      </c>
      <c r="M5" s="49">
        <v>2323</v>
      </c>
      <c r="N5" s="47">
        <v>20903</v>
      </c>
      <c r="O5" s="50"/>
      <c r="P5" s="50"/>
      <c r="Q5" s="50"/>
      <c r="R5" s="50"/>
      <c r="S5" s="50"/>
    </row>
    <row r="6" spans="1:19" ht="12.75">
      <c r="A6" s="28">
        <v>7768280113</v>
      </c>
      <c r="B6" s="6" t="s">
        <v>287</v>
      </c>
      <c r="C6" s="6" t="s">
        <v>288</v>
      </c>
      <c r="D6" s="7" t="s">
        <v>7</v>
      </c>
      <c r="E6" s="49">
        <v>10989</v>
      </c>
      <c r="F6" s="48">
        <v>3663</v>
      </c>
      <c r="G6" s="49">
        <v>3663</v>
      </c>
      <c r="H6" s="47">
        <v>10989</v>
      </c>
      <c r="I6" s="49">
        <v>2354</v>
      </c>
      <c r="J6" s="49">
        <v>2354</v>
      </c>
      <c r="K6" s="47">
        <v>11770</v>
      </c>
      <c r="L6" s="49">
        <v>1446</v>
      </c>
      <c r="M6" s="49">
        <v>1446</v>
      </c>
      <c r="N6" s="47">
        <v>13014</v>
      </c>
      <c r="O6" s="49">
        <v>8473.7915881983681</v>
      </c>
      <c r="P6" s="49">
        <f t="shared" ref="P6:P15" si="0">O6*1.04</f>
        <v>8812.7432517263023</v>
      </c>
      <c r="Q6" s="49">
        <f t="shared" ref="Q6:Q15" si="1">O6*1.08</f>
        <v>9151.6949152542384</v>
      </c>
      <c r="R6" s="49">
        <f t="shared" ref="R6:R15" si="2">O6*1.12</f>
        <v>9490.6465787821726</v>
      </c>
      <c r="S6" s="49">
        <f t="shared" ref="S6:S15" si="3">O6*1.16</f>
        <v>9829.5982423101068</v>
      </c>
    </row>
    <row r="7" spans="1:19" ht="12.75">
      <c r="A7" s="28">
        <v>7768270161</v>
      </c>
      <c r="B7" s="6" t="s">
        <v>207</v>
      </c>
      <c r="C7" s="6" t="s">
        <v>222</v>
      </c>
      <c r="D7" s="7" t="s">
        <v>7</v>
      </c>
      <c r="E7" s="49">
        <v>18149</v>
      </c>
      <c r="F7" s="48">
        <v>6049</v>
      </c>
      <c r="G7" s="49">
        <v>6050</v>
      </c>
      <c r="H7" s="47">
        <v>18149</v>
      </c>
      <c r="I7" s="49">
        <v>3847</v>
      </c>
      <c r="J7" s="49">
        <v>3847</v>
      </c>
      <c r="K7" s="47">
        <v>19235</v>
      </c>
      <c r="L7" s="49">
        <v>2472</v>
      </c>
      <c r="M7" s="49">
        <v>2472</v>
      </c>
      <c r="N7" s="47">
        <v>22248</v>
      </c>
      <c r="O7" s="49">
        <v>13191.6</v>
      </c>
      <c r="P7" s="49">
        <f t="shared" si="0"/>
        <v>13719.264000000001</v>
      </c>
      <c r="Q7" s="49">
        <f t="shared" si="1"/>
        <v>14246.928000000002</v>
      </c>
      <c r="R7" s="49">
        <f t="shared" si="2"/>
        <v>14774.592000000002</v>
      </c>
      <c r="S7" s="49">
        <f t="shared" si="3"/>
        <v>15302.255999999999</v>
      </c>
    </row>
    <row r="8" spans="1:19" ht="12.75">
      <c r="A8" s="28">
        <v>7768270195</v>
      </c>
      <c r="B8" s="6" t="s">
        <v>210</v>
      </c>
      <c r="C8" s="6" t="s">
        <v>223</v>
      </c>
      <c r="D8" s="7" t="s">
        <v>7</v>
      </c>
      <c r="E8" s="49">
        <v>15146</v>
      </c>
      <c r="F8" s="48">
        <v>5048</v>
      </c>
      <c r="G8" s="49">
        <v>5049</v>
      </c>
      <c r="H8" s="47">
        <v>15146</v>
      </c>
      <c r="I8" s="49">
        <v>3213</v>
      </c>
      <c r="J8" s="49">
        <v>3213</v>
      </c>
      <c r="K8" s="47">
        <v>16065</v>
      </c>
      <c r="L8" s="49">
        <v>2063</v>
      </c>
      <c r="M8" s="49">
        <v>2067</v>
      </c>
      <c r="N8" s="47">
        <v>18599</v>
      </c>
      <c r="O8" s="50"/>
      <c r="P8" s="50"/>
      <c r="Q8" s="50"/>
      <c r="R8" s="50"/>
      <c r="S8" s="50"/>
    </row>
    <row r="9" spans="1:19" ht="12.75">
      <c r="A9" s="28">
        <v>7768270232</v>
      </c>
      <c r="B9" s="6" t="s">
        <v>224</v>
      </c>
      <c r="C9" s="6" t="s">
        <v>225</v>
      </c>
      <c r="D9" s="7" t="s">
        <v>7</v>
      </c>
      <c r="E9" s="49">
        <v>17166</v>
      </c>
      <c r="F9" s="48">
        <v>5722</v>
      </c>
      <c r="G9" s="49">
        <v>5722</v>
      </c>
      <c r="H9" s="47">
        <v>17166</v>
      </c>
      <c r="I9" s="49">
        <v>3641</v>
      </c>
      <c r="J9" s="49">
        <v>3639</v>
      </c>
      <c r="K9" s="47">
        <v>18197</v>
      </c>
      <c r="L9" s="49">
        <v>2340</v>
      </c>
      <c r="M9" s="49">
        <v>2341</v>
      </c>
      <c r="N9" s="47">
        <v>21068</v>
      </c>
      <c r="O9" s="50"/>
      <c r="P9" s="50"/>
      <c r="Q9" s="50"/>
      <c r="R9" s="50"/>
      <c r="S9" s="50"/>
    </row>
    <row r="10" spans="1:19" ht="12.75">
      <c r="A10" s="28">
        <v>7768270224</v>
      </c>
      <c r="B10" s="6" t="s">
        <v>212</v>
      </c>
      <c r="C10" s="6" t="s">
        <v>226</v>
      </c>
      <c r="D10" s="7" t="s">
        <v>7</v>
      </c>
      <c r="E10" s="49">
        <v>17166</v>
      </c>
      <c r="F10" s="48">
        <v>5722</v>
      </c>
      <c r="G10" s="49">
        <v>5722</v>
      </c>
      <c r="H10" s="47">
        <v>17166</v>
      </c>
      <c r="I10" s="49">
        <v>3641</v>
      </c>
      <c r="J10" s="49">
        <v>3639</v>
      </c>
      <c r="K10" s="47">
        <v>18197</v>
      </c>
      <c r="L10" s="49">
        <v>2340</v>
      </c>
      <c r="M10" s="49">
        <v>2341</v>
      </c>
      <c r="N10" s="47">
        <v>21068</v>
      </c>
      <c r="O10" s="50"/>
      <c r="P10" s="50"/>
      <c r="Q10" s="50"/>
      <c r="R10" s="50"/>
      <c r="S10" s="50"/>
    </row>
    <row r="11" spans="1:19" ht="12.75">
      <c r="A11" s="28">
        <v>7768270241</v>
      </c>
      <c r="B11" s="6" t="s">
        <v>273</v>
      </c>
      <c r="C11" s="6" t="s">
        <v>226</v>
      </c>
      <c r="D11" s="7" t="s">
        <v>7</v>
      </c>
      <c r="E11" s="49">
        <v>13009</v>
      </c>
      <c r="F11" s="48">
        <v>4337</v>
      </c>
      <c r="G11" s="49">
        <v>4336</v>
      </c>
      <c r="H11" s="47">
        <v>13009</v>
      </c>
      <c r="I11" s="49">
        <v>2790</v>
      </c>
      <c r="J11" s="49">
        <v>2790</v>
      </c>
      <c r="K11" s="47">
        <v>13950</v>
      </c>
      <c r="L11" s="49">
        <v>1714</v>
      </c>
      <c r="M11" s="49">
        <v>1714</v>
      </c>
      <c r="N11" s="47">
        <v>15426</v>
      </c>
      <c r="O11" s="49">
        <v>10043.157564344006</v>
      </c>
      <c r="P11" s="49">
        <f t="shared" si="0"/>
        <v>10444.883866917768</v>
      </c>
      <c r="Q11" s="49">
        <f t="shared" si="1"/>
        <v>10846.610169491527</v>
      </c>
      <c r="R11" s="49">
        <f t="shared" si="2"/>
        <v>11248.336472065288</v>
      </c>
      <c r="S11" s="49">
        <f t="shared" si="3"/>
        <v>11650.062774639047</v>
      </c>
    </row>
    <row r="12" spans="1:19" ht="12.75">
      <c r="A12" s="28">
        <v>7768270190</v>
      </c>
      <c r="B12" s="6" t="s">
        <v>209</v>
      </c>
      <c r="C12" s="6" t="s">
        <v>227</v>
      </c>
      <c r="D12" s="7" t="s">
        <v>7</v>
      </c>
      <c r="E12" s="49">
        <v>23519</v>
      </c>
      <c r="F12" s="48">
        <v>7839</v>
      </c>
      <c r="G12" s="49">
        <v>7840</v>
      </c>
      <c r="H12" s="47">
        <v>23519</v>
      </c>
      <c r="I12" s="49">
        <v>4982</v>
      </c>
      <c r="J12" s="49">
        <v>4982</v>
      </c>
      <c r="K12" s="47">
        <v>24910</v>
      </c>
      <c r="L12" s="49">
        <v>3202</v>
      </c>
      <c r="M12" s="49">
        <v>3202</v>
      </c>
      <c r="N12" s="47">
        <v>28818</v>
      </c>
      <c r="O12" s="49">
        <v>17084.399999999998</v>
      </c>
      <c r="P12" s="49">
        <f t="shared" si="0"/>
        <v>17767.775999999998</v>
      </c>
      <c r="Q12" s="49">
        <f t="shared" si="1"/>
        <v>18451.151999999998</v>
      </c>
      <c r="R12" s="49">
        <f t="shared" si="2"/>
        <v>19134.527999999998</v>
      </c>
      <c r="S12" s="49">
        <f t="shared" si="3"/>
        <v>19817.903999999995</v>
      </c>
    </row>
    <row r="13" spans="1:19" ht="12.75">
      <c r="A13" s="28">
        <v>7768270185</v>
      </c>
      <c r="B13" s="6" t="s">
        <v>208</v>
      </c>
      <c r="C13" s="6" t="s">
        <v>228</v>
      </c>
      <c r="D13" s="7" t="s">
        <v>7</v>
      </c>
      <c r="E13" s="49">
        <v>23519</v>
      </c>
      <c r="F13" s="48">
        <v>7839</v>
      </c>
      <c r="G13" s="49">
        <v>7840</v>
      </c>
      <c r="H13" s="47">
        <v>23519</v>
      </c>
      <c r="I13" s="49">
        <v>4982</v>
      </c>
      <c r="J13" s="49">
        <v>4982</v>
      </c>
      <c r="K13" s="47">
        <v>24910</v>
      </c>
      <c r="L13" s="49">
        <v>3202</v>
      </c>
      <c r="M13" s="49">
        <v>3202</v>
      </c>
      <c r="N13" s="47">
        <v>28818</v>
      </c>
      <c r="O13" s="49">
        <v>17084.399999999998</v>
      </c>
      <c r="P13" s="49">
        <f t="shared" si="0"/>
        <v>17767.775999999998</v>
      </c>
      <c r="Q13" s="49">
        <f t="shared" si="1"/>
        <v>18451.151999999998</v>
      </c>
      <c r="R13" s="49">
        <f t="shared" si="2"/>
        <v>19134.527999999998</v>
      </c>
      <c r="S13" s="49">
        <f t="shared" si="3"/>
        <v>19817.903999999995</v>
      </c>
    </row>
    <row r="14" spans="1:19" ht="12.75">
      <c r="A14" s="28">
        <v>7768270204</v>
      </c>
      <c r="B14" s="6" t="s">
        <v>211</v>
      </c>
      <c r="C14" s="6" t="s">
        <v>229</v>
      </c>
      <c r="D14" s="7" t="s">
        <v>7</v>
      </c>
      <c r="E14" s="49">
        <v>23519</v>
      </c>
      <c r="F14" s="48">
        <v>7839</v>
      </c>
      <c r="G14" s="49">
        <v>7840</v>
      </c>
      <c r="H14" s="47">
        <v>23519</v>
      </c>
      <c r="I14" s="49">
        <v>4982</v>
      </c>
      <c r="J14" s="49">
        <v>4982</v>
      </c>
      <c r="K14" s="47">
        <v>24910</v>
      </c>
      <c r="L14" s="49">
        <v>3202</v>
      </c>
      <c r="M14" s="49">
        <v>3202</v>
      </c>
      <c r="N14" s="47">
        <v>28818</v>
      </c>
      <c r="O14" s="49">
        <v>17084.399999999998</v>
      </c>
      <c r="P14" s="49">
        <f t="shared" si="0"/>
        <v>17767.775999999998</v>
      </c>
      <c r="Q14" s="49">
        <f t="shared" si="1"/>
        <v>18451.151999999998</v>
      </c>
      <c r="R14" s="49">
        <f t="shared" si="2"/>
        <v>19134.527999999998</v>
      </c>
      <c r="S14" s="49">
        <f t="shared" si="3"/>
        <v>19817.903999999995</v>
      </c>
    </row>
    <row r="15" spans="1:19" ht="12.75">
      <c r="A15" s="28">
        <v>7779420294</v>
      </c>
      <c r="B15" s="6" t="s">
        <v>255</v>
      </c>
      <c r="C15" s="6" t="s">
        <v>229</v>
      </c>
      <c r="D15" s="7" t="s">
        <v>7</v>
      </c>
      <c r="E15" s="49">
        <v>23519</v>
      </c>
      <c r="F15" s="48">
        <v>7839</v>
      </c>
      <c r="G15" s="49">
        <v>7840</v>
      </c>
      <c r="H15" s="47">
        <v>23519</v>
      </c>
      <c r="I15" s="49">
        <v>4982</v>
      </c>
      <c r="J15" s="49">
        <v>4982</v>
      </c>
      <c r="K15" s="47">
        <v>24910</v>
      </c>
      <c r="L15" s="49">
        <v>3202</v>
      </c>
      <c r="M15" s="49">
        <v>3202</v>
      </c>
      <c r="N15" s="47">
        <v>28818</v>
      </c>
      <c r="O15" s="49">
        <v>17084.399999999998</v>
      </c>
      <c r="P15" s="49">
        <f t="shared" si="0"/>
        <v>17767.775999999998</v>
      </c>
      <c r="Q15" s="49">
        <f t="shared" si="1"/>
        <v>18451.151999999998</v>
      </c>
      <c r="R15" s="49">
        <f t="shared" si="2"/>
        <v>19134.527999999998</v>
      </c>
      <c r="S15" s="49">
        <f t="shared" si="3"/>
        <v>19817.903999999995</v>
      </c>
    </row>
    <row r="16" spans="1:19" ht="14.45" customHeight="1">
      <c r="A16" s="28">
        <v>7768280104</v>
      </c>
      <c r="B16" s="6" t="s">
        <v>215</v>
      </c>
      <c r="C16" s="6" t="s">
        <v>230</v>
      </c>
      <c r="D16" s="7" t="s">
        <v>7</v>
      </c>
      <c r="E16" s="49">
        <v>26223</v>
      </c>
      <c r="F16" s="48">
        <v>8741</v>
      </c>
      <c r="G16" s="49">
        <v>8741</v>
      </c>
      <c r="H16" s="47">
        <v>26223</v>
      </c>
      <c r="I16" s="49">
        <v>5548</v>
      </c>
      <c r="J16" s="49">
        <v>5549</v>
      </c>
      <c r="K16" s="47">
        <v>27744</v>
      </c>
      <c r="L16" s="49">
        <v>3564</v>
      </c>
      <c r="M16" s="49">
        <v>3565</v>
      </c>
      <c r="N16" s="47">
        <v>32084</v>
      </c>
      <c r="O16" s="50"/>
      <c r="P16" s="50"/>
      <c r="Q16" s="50"/>
      <c r="R16" s="50"/>
      <c r="S16" s="50"/>
    </row>
    <row r="17" spans="1:19" ht="12.75">
      <c r="A17" s="28">
        <v>7768280103</v>
      </c>
      <c r="B17" s="6" t="s">
        <v>216</v>
      </c>
      <c r="C17" s="6" t="s">
        <v>231</v>
      </c>
      <c r="D17" s="7" t="s">
        <v>7</v>
      </c>
      <c r="E17" s="49">
        <v>26223</v>
      </c>
      <c r="F17" s="48">
        <v>8741</v>
      </c>
      <c r="G17" s="49">
        <v>8741</v>
      </c>
      <c r="H17" s="47">
        <v>26223</v>
      </c>
      <c r="I17" s="49">
        <v>5548</v>
      </c>
      <c r="J17" s="49">
        <v>5549</v>
      </c>
      <c r="K17" s="47">
        <v>27744</v>
      </c>
      <c r="L17" s="49">
        <v>3564</v>
      </c>
      <c r="M17" s="49">
        <v>3565</v>
      </c>
      <c r="N17" s="47">
        <v>32084</v>
      </c>
      <c r="O17" s="50"/>
      <c r="P17" s="50"/>
      <c r="Q17" s="50"/>
      <c r="R17" s="50"/>
      <c r="S17" s="50"/>
    </row>
    <row r="18" spans="1:19" ht="12.75">
      <c r="A18" s="28">
        <v>7768280102</v>
      </c>
      <c r="B18" s="6" t="s">
        <v>213</v>
      </c>
      <c r="C18" s="6" t="s">
        <v>232</v>
      </c>
      <c r="D18" s="7" t="s">
        <v>7</v>
      </c>
      <c r="E18" s="49">
        <v>26192</v>
      </c>
      <c r="F18" s="48">
        <v>8730</v>
      </c>
      <c r="G18" s="49">
        <v>8731</v>
      </c>
      <c r="H18" s="47">
        <v>26192</v>
      </c>
      <c r="I18" s="49">
        <v>5561</v>
      </c>
      <c r="J18" s="49">
        <v>5561</v>
      </c>
      <c r="K18" s="47">
        <v>27805</v>
      </c>
      <c r="L18" s="49">
        <v>3539</v>
      </c>
      <c r="M18" s="49">
        <v>3539</v>
      </c>
      <c r="N18" s="47">
        <v>31851</v>
      </c>
      <c r="O18" s="49">
        <v>19096.8</v>
      </c>
      <c r="P18" s="49">
        <f t="shared" ref="P18:P20" si="4">O18*1.04</f>
        <v>19860.671999999999</v>
      </c>
      <c r="Q18" s="49">
        <f t="shared" ref="Q18:Q20" si="5">O18*1.08</f>
        <v>20624.544000000002</v>
      </c>
      <c r="R18" s="49">
        <f t="shared" ref="R18:R20" si="6">O18*1.12</f>
        <v>21388.416000000001</v>
      </c>
      <c r="S18" s="49">
        <f t="shared" ref="S18:S20" si="7">O18*1.16</f>
        <v>22152.287999999997</v>
      </c>
    </row>
    <row r="19" spans="1:19" ht="15.6" customHeight="1">
      <c r="A19" s="28">
        <v>7779420296</v>
      </c>
      <c r="B19" s="6" t="s">
        <v>274</v>
      </c>
      <c r="C19" s="6" t="s">
        <v>275</v>
      </c>
      <c r="D19" s="7" t="s">
        <v>7</v>
      </c>
      <c r="E19" s="49">
        <v>26192</v>
      </c>
      <c r="F19" s="48">
        <v>8730</v>
      </c>
      <c r="G19" s="49">
        <v>8731</v>
      </c>
      <c r="H19" s="47">
        <v>26192</v>
      </c>
      <c r="I19" s="49">
        <v>5561</v>
      </c>
      <c r="J19" s="49">
        <v>5561</v>
      </c>
      <c r="K19" s="47">
        <v>27805</v>
      </c>
      <c r="L19" s="49">
        <v>3539</v>
      </c>
      <c r="M19" s="49">
        <v>3539</v>
      </c>
      <c r="N19" s="47">
        <v>31851</v>
      </c>
      <c r="O19" s="49">
        <v>19096.8</v>
      </c>
      <c r="P19" s="49">
        <f t="shared" si="4"/>
        <v>19860.671999999999</v>
      </c>
      <c r="Q19" s="49">
        <f t="shared" si="5"/>
        <v>20624.544000000002</v>
      </c>
      <c r="R19" s="49">
        <f t="shared" si="6"/>
        <v>21388.416000000001</v>
      </c>
      <c r="S19" s="49">
        <f t="shared" si="7"/>
        <v>22152.287999999997</v>
      </c>
    </row>
    <row r="20" spans="1:19" ht="14.1" customHeight="1">
      <c r="A20" s="28">
        <v>7768280101</v>
      </c>
      <c r="B20" s="6" t="s">
        <v>214</v>
      </c>
      <c r="C20" s="6" t="s">
        <v>233</v>
      </c>
      <c r="D20" s="7" t="s">
        <v>7</v>
      </c>
      <c r="E20" s="49">
        <v>26192</v>
      </c>
      <c r="F20" s="48">
        <v>8730</v>
      </c>
      <c r="G20" s="49">
        <v>8731</v>
      </c>
      <c r="H20" s="47">
        <v>26192</v>
      </c>
      <c r="I20" s="49">
        <v>5561</v>
      </c>
      <c r="J20" s="49">
        <v>5561</v>
      </c>
      <c r="K20" s="47">
        <v>27805</v>
      </c>
      <c r="L20" s="49">
        <v>3539</v>
      </c>
      <c r="M20" s="49">
        <v>3539</v>
      </c>
      <c r="N20" s="47">
        <v>31851</v>
      </c>
      <c r="O20" s="49">
        <v>19096.8</v>
      </c>
      <c r="P20" s="49">
        <f t="shared" si="4"/>
        <v>19860.671999999999</v>
      </c>
      <c r="Q20" s="49">
        <f t="shared" si="5"/>
        <v>20624.544000000002</v>
      </c>
      <c r="R20" s="49">
        <f t="shared" si="6"/>
        <v>21388.416000000001</v>
      </c>
      <c r="S20" s="49">
        <f t="shared" si="7"/>
        <v>22152.287999999997</v>
      </c>
    </row>
    <row r="21" spans="1:19" ht="14.1" customHeight="1">
      <c r="A21" s="28">
        <v>7768270202</v>
      </c>
      <c r="B21" s="6" t="s">
        <v>204</v>
      </c>
      <c r="C21" s="6" t="s">
        <v>234</v>
      </c>
      <c r="D21" s="7" t="s">
        <v>51</v>
      </c>
      <c r="E21" s="49">
        <v>31701</v>
      </c>
      <c r="F21" s="48">
        <v>10567</v>
      </c>
      <c r="G21" s="49">
        <v>10567</v>
      </c>
      <c r="H21" s="47">
        <v>31701</v>
      </c>
      <c r="I21" s="49">
        <v>6712</v>
      </c>
      <c r="J21" s="49">
        <v>6714</v>
      </c>
      <c r="K21" s="47">
        <v>33568</v>
      </c>
      <c r="L21" s="49">
        <v>4309</v>
      </c>
      <c r="M21" s="49">
        <v>4313</v>
      </c>
      <c r="N21" s="47">
        <v>38813</v>
      </c>
      <c r="O21" s="50"/>
      <c r="P21" s="50"/>
      <c r="Q21" s="50"/>
      <c r="R21" s="50"/>
      <c r="S21" s="50"/>
    </row>
    <row r="22" spans="1:19" ht="14.1" customHeight="1">
      <c r="A22" s="28">
        <v>7768270201</v>
      </c>
      <c r="B22" s="6" t="s">
        <v>202</v>
      </c>
      <c r="C22" s="6" t="s">
        <v>235</v>
      </c>
      <c r="D22" s="7" t="s">
        <v>51</v>
      </c>
      <c r="E22" s="49">
        <v>31701</v>
      </c>
      <c r="F22" s="48">
        <v>10567</v>
      </c>
      <c r="G22" s="49">
        <v>10567</v>
      </c>
      <c r="H22" s="47">
        <v>31701</v>
      </c>
      <c r="I22" s="49">
        <v>6712</v>
      </c>
      <c r="J22" s="49">
        <v>6714</v>
      </c>
      <c r="K22" s="47">
        <v>33568</v>
      </c>
      <c r="L22" s="49">
        <v>4309</v>
      </c>
      <c r="M22" s="49">
        <v>4313</v>
      </c>
      <c r="N22" s="47">
        <v>38813</v>
      </c>
      <c r="O22" s="50"/>
      <c r="P22" s="50"/>
      <c r="Q22" s="50"/>
      <c r="R22" s="50"/>
      <c r="S22" s="50"/>
    </row>
    <row r="23" spans="1:19" ht="14.1" customHeight="1">
      <c r="A23" s="28">
        <v>7768270203</v>
      </c>
      <c r="B23" s="6" t="s">
        <v>203</v>
      </c>
      <c r="C23" s="6" t="s">
        <v>236</v>
      </c>
      <c r="D23" s="7" t="s">
        <v>51</v>
      </c>
      <c r="E23" s="49">
        <v>31701</v>
      </c>
      <c r="F23" s="48">
        <v>10567</v>
      </c>
      <c r="G23" s="49">
        <v>10567</v>
      </c>
      <c r="H23" s="47">
        <v>31701</v>
      </c>
      <c r="I23" s="49">
        <v>6712</v>
      </c>
      <c r="J23" s="49">
        <v>6714</v>
      </c>
      <c r="K23" s="47">
        <v>33568</v>
      </c>
      <c r="L23" s="49">
        <v>4309</v>
      </c>
      <c r="M23" s="49">
        <v>4313</v>
      </c>
      <c r="N23" s="47">
        <v>38813</v>
      </c>
      <c r="O23" s="50"/>
      <c r="P23" s="50"/>
      <c r="Q23" s="50"/>
      <c r="R23" s="50"/>
      <c r="S23" s="50"/>
    </row>
    <row r="24" spans="1:19" ht="14.1" customHeight="1">
      <c r="A24" s="28">
        <v>7779420287</v>
      </c>
      <c r="B24" s="6" t="s">
        <v>256</v>
      </c>
      <c r="C24" s="6" t="s">
        <v>276</v>
      </c>
      <c r="D24" s="7" t="s">
        <v>51</v>
      </c>
      <c r="E24" s="49">
        <v>30242</v>
      </c>
      <c r="F24" s="48">
        <v>10080</v>
      </c>
      <c r="G24" s="49">
        <v>10081</v>
      </c>
      <c r="H24" s="47">
        <v>30242</v>
      </c>
      <c r="I24" s="49">
        <v>6405</v>
      </c>
      <c r="J24" s="49">
        <v>6407</v>
      </c>
      <c r="K24" s="47">
        <v>32033</v>
      </c>
      <c r="L24" s="49">
        <v>4087</v>
      </c>
      <c r="M24" s="49">
        <v>4087</v>
      </c>
      <c r="N24" s="47">
        <v>36783</v>
      </c>
      <c r="O24" s="49">
        <v>22050</v>
      </c>
      <c r="P24" s="49">
        <f t="shared" ref="P24" si="8">O24*1.04</f>
        <v>22932</v>
      </c>
      <c r="Q24" s="49">
        <f t="shared" ref="Q24" si="9">O24*1.08</f>
        <v>23814</v>
      </c>
      <c r="R24" s="49">
        <f t="shared" ref="R24" si="10">O24*1.12</f>
        <v>24696.000000000004</v>
      </c>
      <c r="S24" s="49">
        <f t="shared" ref="S24" si="11">O24*1.16</f>
        <v>25578</v>
      </c>
    </row>
    <row r="25" spans="1:19" ht="14.1" customHeight="1">
      <c r="A25" s="28">
        <v>7779420289</v>
      </c>
      <c r="B25" s="6" t="s">
        <v>257</v>
      </c>
      <c r="C25" s="6" t="s">
        <v>277</v>
      </c>
      <c r="D25" s="7" t="s">
        <v>51</v>
      </c>
      <c r="E25" s="49">
        <v>30242</v>
      </c>
      <c r="F25" s="48">
        <v>10080</v>
      </c>
      <c r="G25" s="49">
        <v>10081</v>
      </c>
      <c r="H25" s="47">
        <v>30242</v>
      </c>
      <c r="I25" s="49">
        <v>6421</v>
      </c>
      <c r="J25" s="49">
        <v>6421</v>
      </c>
      <c r="K25" s="47">
        <v>32105</v>
      </c>
      <c r="L25" s="49">
        <v>4087</v>
      </c>
      <c r="M25" s="49">
        <v>4087</v>
      </c>
      <c r="N25" s="47">
        <v>36783</v>
      </c>
      <c r="O25" s="49">
        <v>22050</v>
      </c>
      <c r="P25" s="49">
        <f t="shared" ref="P25:P33" si="12">O25*1.04</f>
        <v>22932</v>
      </c>
      <c r="Q25" s="49">
        <f t="shared" ref="Q25:Q33" si="13">O25*1.08</f>
        <v>23814</v>
      </c>
      <c r="R25" s="49">
        <f t="shared" ref="R25:R33" si="14">O25*1.12</f>
        <v>24696.000000000004</v>
      </c>
      <c r="S25" s="49">
        <f t="shared" ref="S25:S33" si="15">O25*1.16</f>
        <v>25578</v>
      </c>
    </row>
    <row r="26" spans="1:19" ht="14.1" customHeight="1">
      <c r="A26" s="40">
        <v>7779420288</v>
      </c>
      <c r="B26" s="6" t="s">
        <v>258</v>
      </c>
      <c r="C26" s="6" t="s">
        <v>278</v>
      </c>
      <c r="D26" s="7" t="s">
        <v>51</v>
      </c>
      <c r="E26" s="49">
        <v>30242</v>
      </c>
      <c r="F26" s="48">
        <v>10080</v>
      </c>
      <c r="G26" s="49">
        <v>10081</v>
      </c>
      <c r="H26" s="47">
        <v>30242</v>
      </c>
      <c r="I26" s="49">
        <v>6421</v>
      </c>
      <c r="J26" s="49">
        <v>6421</v>
      </c>
      <c r="K26" s="47">
        <v>32105</v>
      </c>
      <c r="L26" s="49">
        <v>4087</v>
      </c>
      <c r="M26" s="49">
        <v>4087</v>
      </c>
      <c r="N26" s="47">
        <v>36783</v>
      </c>
      <c r="O26" s="49">
        <v>22050</v>
      </c>
      <c r="P26" s="49">
        <f t="shared" si="12"/>
        <v>22932</v>
      </c>
      <c r="Q26" s="49">
        <f t="shared" si="13"/>
        <v>23814</v>
      </c>
      <c r="R26" s="49">
        <f t="shared" si="14"/>
        <v>24696.000000000004</v>
      </c>
      <c r="S26" s="49">
        <f t="shared" si="15"/>
        <v>25578</v>
      </c>
    </row>
    <row r="27" spans="1:19" ht="14.1" customHeight="1">
      <c r="A27" s="40">
        <v>7779420292</v>
      </c>
      <c r="B27" s="6" t="s">
        <v>279</v>
      </c>
      <c r="C27" s="6" t="s">
        <v>280</v>
      </c>
      <c r="D27" s="7" t="s">
        <v>110</v>
      </c>
      <c r="E27" s="49">
        <v>46799</v>
      </c>
      <c r="F27" s="48">
        <v>15599</v>
      </c>
      <c r="G27" s="49">
        <v>15600</v>
      </c>
      <c r="H27" s="47">
        <v>46799</v>
      </c>
      <c r="I27" s="49">
        <v>10025</v>
      </c>
      <c r="J27" s="49">
        <v>10025</v>
      </c>
      <c r="K27" s="47">
        <v>50125</v>
      </c>
      <c r="L27" s="49">
        <v>6157</v>
      </c>
      <c r="M27" s="49">
        <v>6157</v>
      </c>
      <c r="N27" s="47">
        <v>55413</v>
      </c>
      <c r="O27" s="49">
        <v>35518.799999999996</v>
      </c>
      <c r="P27" s="49">
        <f t="shared" si="12"/>
        <v>36939.551999999996</v>
      </c>
      <c r="Q27" s="49">
        <f t="shared" si="13"/>
        <v>38360.303999999996</v>
      </c>
      <c r="R27" s="49">
        <f t="shared" si="14"/>
        <v>39781.055999999997</v>
      </c>
      <c r="S27" s="49">
        <f t="shared" si="15"/>
        <v>41201.80799999999</v>
      </c>
    </row>
    <row r="28" spans="1:19" ht="14.1" customHeight="1">
      <c r="A28" s="40">
        <v>7779320240</v>
      </c>
      <c r="B28" s="6" t="s">
        <v>281</v>
      </c>
      <c r="C28" s="6" t="s">
        <v>282</v>
      </c>
      <c r="D28" s="7" t="s">
        <v>110</v>
      </c>
      <c r="E28" s="49">
        <v>46799</v>
      </c>
      <c r="F28" s="48">
        <v>15599</v>
      </c>
      <c r="G28" s="49">
        <v>15600</v>
      </c>
      <c r="H28" s="47">
        <v>46799</v>
      </c>
      <c r="I28" s="49">
        <v>10104</v>
      </c>
      <c r="J28" s="49">
        <v>10104</v>
      </c>
      <c r="K28" s="47">
        <v>50520</v>
      </c>
      <c r="L28" s="49">
        <v>6157</v>
      </c>
      <c r="M28" s="49">
        <v>6157</v>
      </c>
      <c r="N28" s="47">
        <v>55413</v>
      </c>
      <c r="O28" s="49">
        <v>35518.799999999996</v>
      </c>
      <c r="P28" s="49">
        <f t="shared" si="12"/>
        <v>36939.551999999996</v>
      </c>
      <c r="Q28" s="49">
        <f t="shared" si="13"/>
        <v>38360.303999999996</v>
      </c>
      <c r="R28" s="49">
        <f t="shared" si="14"/>
        <v>39781.055999999997</v>
      </c>
      <c r="S28" s="49">
        <f t="shared" si="15"/>
        <v>41201.80799999999</v>
      </c>
    </row>
    <row r="29" spans="1:19" ht="14.1" customHeight="1">
      <c r="A29" s="40">
        <v>7718186374</v>
      </c>
      <c r="B29" s="6" t="s">
        <v>242</v>
      </c>
      <c r="C29" s="6" t="s">
        <v>283</v>
      </c>
      <c r="D29" s="7" t="s">
        <v>51</v>
      </c>
      <c r="E29" s="49">
        <v>59405</v>
      </c>
      <c r="F29" s="48">
        <v>19801</v>
      </c>
      <c r="G29" s="49">
        <v>19802</v>
      </c>
      <c r="H29" s="47">
        <v>59405</v>
      </c>
      <c r="I29" s="49">
        <v>12612</v>
      </c>
      <c r="J29" s="49">
        <v>12612</v>
      </c>
      <c r="K29" s="47">
        <v>63060</v>
      </c>
      <c r="L29" s="49">
        <v>8027</v>
      </c>
      <c r="M29" s="49">
        <v>8027</v>
      </c>
      <c r="N29" s="47">
        <v>72243</v>
      </c>
      <c r="O29" s="49">
        <v>43311.6</v>
      </c>
      <c r="P29" s="49">
        <f t="shared" si="12"/>
        <v>45044.063999999998</v>
      </c>
      <c r="Q29" s="49">
        <f t="shared" si="13"/>
        <v>46776.527999999998</v>
      </c>
      <c r="R29" s="49">
        <f t="shared" si="14"/>
        <v>48508.992000000006</v>
      </c>
      <c r="S29" s="49">
        <f t="shared" si="15"/>
        <v>50241.455999999998</v>
      </c>
    </row>
    <row r="30" spans="1:19" ht="14.1" customHeight="1">
      <c r="A30" s="40">
        <v>7757783011</v>
      </c>
      <c r="B30" s="6" t="s">
        <v>237</v>
      </c>
      <c r="C30" s="6" t="s">
        <v>259</v>
      </c>
      <c r="D30" s="7" t="s">
        <v>51</v>
      </c>
      <c r="E30" s="49">
        <v>82680</v>
      </c>
      <c r="F30" s="48">
        <v>27560</v>
      </c>
      <c r="G30" s="49">
        <v>27560</v>
      </c>
      <c r="H30" s="47">
        <v>82680</v>
      </c>
      <c r="I30" s="49">
        <v>17504</v>
      </c>
      <c r="J30" s="49">
        <v>17503</v>
      </c>
      <c r="K30" s="47">
        <v>87516</v>
      </c>
      <c r="L30" s="49">
        <v>11247</v>
      </c>
      <c r="M30" s="49">
        <v>11243</v>
      </c>
      <c r="N30" s="47">
        <v>101191</v>
      </c>
      <c r="O30" s="50"/>
      <c r="P30" s="50"/>
      <c r="Q30" s="50"/>
      <c r="R30" s="50"/>
      <c r="S30" s="50"/>
    </row>
    <row r="31" spans="1:19" ht="14.1" customHeight="1">
      <c r="A31" s="40">
        <v>7768280106</v>
      </c>
      <c r="B31" s="6" t="s">
        <v>284</v>
      </c>
      <c r="C31" s="6" t="s">
        <v>285</v>
      </c>
      <c r="D31" s="7" t="s">
        <v>51</v>
      </c>
      <c r="E31" s="49">
        <v>51999</v>
      </c>
      <c r="F31" s="48">
        <v>17333</v>
      </c>
      <c r="G31" s="49">
        <v>17333</v>
      </c>
      <c r="H31" s="47">
        <v>51999</v>
      </c>
      <c r="I31" s="49">
        <v>11138</v>
      </c>
      <c r="J31" s="49">
        <v>11138</v>
      </c>
      <c r="K31" s="47">
        <v>55690</v>
      </c>
      <c r="L31" s="49">
        <v>6840</v>
      </c>
      <c r="M31" s="49">
        <v>6840</v>
      </c>
      <c r="N31" s="47">
        <v>61560</v>
      </c>
      <c r="O31" s="49">
        <v>39464.400000000001</v>
      </c>
      <c r="P31" s="49">
        <f t="shared" si="12"/>
        <v>41042.976000000002</v>
      </c>
      <c r="Q31" s="49">
        <f t="shared" si="13"/>
        <v>42621.552000000003</v>
      </c>
      <c r="R31" s="49">
        <f t="shared" si="14"/>
        <v>44200.128000000004</v>
      </c>
      <c r="S31" s="49">
        <f t="shared" si="15"/>
        <v>45778.703999999998</v>
      </c>
    </row>
    <row r="32" spans="1:19" ht="14.1" customHeight="1">
      <c r="A32" s="40">
        <v>859991734750</v>
      </c>
      <c r="B32" s="6" t="s">
        <v>260</v>
      </c>
      <c r="C32" s="6" t="s">
        <v>286</v>
      </c>
      <c r="D32" s="7" t="s">
        <v>7</v>
      </c>
      <c r="E32" s="49">
        <v>34999</v>
      </c>
      <c r="F32" s="48">
        <v>11667</v>
      </c>
      <c r="G32" s="49">
        <v>11666</v>
      </c>
      <c r="H32" s="47">
        <v>34999</v>
      </c>
      <c r="I32" s="49">
        <v>7477</v>
      </c>
      <c r="J32" s="49">
        <v>7477</v>
      </c>
      <c r="K32" s="47">
        <v>37385</v>
      </c>
      <c r="L32" s="49">
        <v>4837</v>
      </c>
      <c r="M32" s="49">
        <v>4837</v>
      </c>
      <c r="N32" s="47">
        <v>43533</v>
      </c>
      <c r="O32" s="49">
        <v>25720</v>
      </c>
      <c r="P32" s="49">
        <f t="shared" si="12"/>
        <v>26748.799999999999</v>
      </c>
      <c r="Q32" s="49">
        <f t="shared" si="13"/>
        <v>27777.600000000002</v>
      </c>
      <c r="R32" s="49">
        <f t="shared" si="14"/>
        <v>28806.400000000001</v>
      </c>
      <c r="S32" s="49">
        <f t="shared" si="15"/>
        <v>29835.199999999997</v>
      </c>
    </row>
    <row r="33" spans="1:19" ht="14.1" customHeight="1">
      <c r="A33" s="40">
        <v>859991734730</v>
      </c>
      <c r="B33" s="6" t="s">
        <v>261</v>
      </c>
      <c r="C33" s="6" t="s">
        <v>286</v>
      </c>
      <c r="D33" s="7" t="s">
        <v>7</v>
      </c>
      <c r="E33" s="49">
        <v>34999</v>
      </c>
      <c r="F33" s="48">
        <v>11667</v>
      </c>
      <c r="G33" s="49">
        <v>11666</v>
      </c>
      <c r="H33" s="47">
        <v>34999</v>
      </c>
      <c r="I33" s="49">
        <v>7477</v>
      </c>
      <c r="J33" s="49">
        <v>7477</v>
      </c>
      <c r="K33" s="47">
        <v>37385</v>
      </c>
      <c r="L33" s="49">
        <v>4837</v>
      </c>
      <c r="M33" s="49">
        <v>4837</v>
      </c>
      <c r="N33" s="47">
        <v>43533</v>
      </c>
      <c r="O33" s="49">
        <v>25720</v>
      </c>
      <c r="P33" s="49">
        <f t="shared" si="12"/>
        <v>26748.799999999999</v>
      </c>
      <c r="Q33" s="49">
        <f t="shared" si="13"/>
        <v>27777.600000000002</v>
      </c>
      <c r="R33" s="49">
        <f t="shared" si="14"/>
        <v>28806.400000000001</v>
      </c>
      <c r="S33" s="49">
        <f t="shared" si="15"/>
        <v>29835.199999999997</v>
      </c>
    </row>
    <row r="34" spans="1:19" s="19" customFormat="1" ht="12.75">
      <c r="A34" s="15"/>
      <c r="B34" s="16" t="s">
        <v>69</v>
      </c>
      <c r="C34" s="17"/>
      <c r="D34" s="17"/>
      <c r="E34" s="51"/>
      <c r="F34" s="51"/>
      <c r="G34" s="51"/>
      <c r="H34" s="51"/>
      <c r="I34" s="51"/>
      <c r="J34" s="51"/>
      <c r="K34" s="51"/>
      <c r="L34" s="51"/>
      <c r="M34" s="51"/>
      <c r="N34" s="51"/>
      <c r="O34" s="51"/>
      <c r="P34" s="51"/>
      <c r="Q34" s="51"/>
      <c r="R34" s="51"/>
      <c r="S34" s="51"/>
    </row>
    <row r="35" spans="1:19" s="19" customFormat="1" ht="15">
      <c r="A35" s="138">
        <v>7757180101</v>
      </c>
      <c r="B35" s="138" t="s">
        <v>54</v>
      </c>
      <c r="C35" s="138" t="s">
        <v>55</v>
      </c>
      <c r="D35" s="18"/>
      <c r="E35" s="59">
        <v>93060</v>
      </c>
      <c r="F35" s="60">
        <v>31020</v>
      </c>
      <c r="G35" s="60">
        <v>31020</v>
      </c>
      <c r="H35" s="59">
        <v>93060</v>
      </c>
      <c r="I35" s="60">
        <v>19746</v>
      </c>
      <c r="J35" s="60">
        <v>19746</v>
      </c>
      <c r="K35" s="59">
        <v>98730</v>
      </c>
      <c r="L35" s="60">
        <v>12725</v>
      </c>
      <c r="M35" s="60">
        <v>12725</v>
      </c>
      <c r="N35" s="59">
        <v>114525</v>
      </c>
      <c r="O35" s="134">
        <v>66278</v>
      </c>
      <c r="P35" s="134">
        <v>68929.119999999995</v>
      </c>
      <c r="Q35" s="134">
        <v>71580.240000000005</v>
      </c>
      <c r="R35" s="134">
        <v>74231.360000000001</v>
      </c>
      <c r="S35" s="134">
        <v>76882.48</v>
      </c>
    </row>
    <row r="36" spans="1:19" s="19" customFormat="1" ht="15">
      <c r="A36" s="138">
        <v>7757180102</v>
      </c>
      <c r="B36" s="138" t="s">
        <v>56</v>
      </c>
      <c r="C36" s="138" t="s">
        <v>57</v>
      </c>
      <c r="D36" s="18"/>
      <c r="E36" s="59">
        <v>98370</v>
      </c>
      <c r="F36" s="60">
        <v>32790</v>
      </c>
      <c r="G36" s="60">
        <v>32790</v>
      </c>
      <c r="H36" s="59">
        <v>98370</v>
      </c>
      <c r="I36" s="60">
        <v>20871</v>
      </c>
      <c r="J36" s="60">
        <v>20871</v>
      </c>
      <c r="K36" s="59">
        <v>104355</v>
      </c>
      <c r="L36" s="60">
        <v>13451</v>
      </c>
      <c r="M36" s="60">
        <v>13451</v>
      </c>
      <c r="N36" s="59">
        <v>121059</v>
      </c>
      <c r="O36" s="134">
        <v>70056</v>
      </c>
      <c r="P36" s="134">
        <v>72858.240000000005</v>
      </c>
      <c r="Q36" s="134">
        <v>75660.48000000001</v>
      </c>
      <c r="R36" s="134">
        <v>78462.720000000001</v>
      </c>
      <c r="S36" s="134">
        <v>81264.959999999992</v>
      </c>
    </row>
    <row r="37" spans="1:19" s="20" customFormat="1" ht="15">
      <c r="A37" s="140"/>
      <c r="B37" s="141" t="s">
        <v>394</v>
      </c>
      <c r="C37" s="140"/>
      <c r="D37" s="18"/>
      <c r="E37" s="51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51"/>
      <c r="S37" s="51"/>
    </row>
    <row r="38" spans="1:19" s="19" customFormat="1" ht="15">
      <c r="A38" s="138">
        <v>7757180110</v>
      </c>
      <c r="B38" s="138" t="s">
        <v>175</v>
      </c>
      <c r="C38" s="138" t="s">
        <v>218</v>
      </c>
      <c r="D38" s="18"/>
      <c r="E38" s="59">
        <v>24450</v>
      </c>
      <c r="F38" s="60">
        <v>8150</v>
      </c>
      <c r="G38" s="60">
        <v>8150</v>
      </c>
      <c r="H38" s="59">
        <v>24450</v>
      </c>
      <c r="I38" s="60">
        <v>5190</v>
      </c>
      <c r="J38" s="60">
        <v>5190</v>
      </c>
      <c r="K38" s="59">
        <v>25950</v>
      </c>
      <c r="L38" s="60">
        <v>3371</v>
      </c>
      <c r="M38" s="60">
        <v>3371</v>
      </c>
      <c r="N38" s="59">
        <v>30339</v>
      </c>
      <c r="O38" s="134">
        <v>17822</v>
      </c>
      <c r="P38" s="134">
        <v>18534.88</v>
      </c>
      <c r="Q38" s="134">
        <v>19247.760000000002</v>
      </c>
      <c r="R38" s="134">
        <v>19960.640000000003</v>
      </c>
      <c r="S38" s="134">
        <v>20673.519999999997</v>
      </c>
    </row>
    <row r="39" spans="1:19" s="19" customFormat="1" ht="15">
      <c r="A39" s="138">
        <v>7757189027</v>
      </c>
      <c r="B39" s="138" t="s">
        <v>395</v>
      </c>
      <c r="C39" s="138" t="s">
        <v>165</v>
      </c>
      <c r="D39" s="18"/>
      <c r="E39" s="59">
        <v>30230</v>
      </c>
      <c r="F39" s="60">
        <v>10076</v>
      </c>
      <c r="G39" s="60">
        <v>10077</v>
      </c>
      <c r="H39" s="59">
        <v>30230</v>
      </c>
      <c r="I39" s="60">
        <v>6417</v>
      </c>
      <c r="J39" s="60">
        <v>6417</v>
      </c>
      <c r="K39" s="59">
        <v>32085</v>
      </c>
      <c r="L39" s="60">
        <v>4169</v>
      </c>
      <c r="M39" s="60">
        <v>4169</v>
      </c>
      <c r="N39" s="59">
        <v>37521</v>
      </c>
      <c r="O39" s="134">
        <v>22038</v>
      </c>
      <c r="P39" s="134">
        <v>22919.52</v>
      </c>
      <c r="Q39" s="134">
        <v>23801.040000000001</v>
      </c>
      <c r="R39" s="134">
        <v>24682.560000000001</v>
      </c>
      <c r="S39" s="134">
        <v>25564.079999999998</v>
      </c>
    </row>
    <row r="40" spans="1:19" s="21" customFormat="1" ht="15">
      <c r="A40" s="138">
        <v>7757180103</v>
      </c>
      <c r="B40" s="138" t="s">
        <v>164</v>
      </c>
      <c r="C40" s="138" t="s">
        <v>165</v>
      </c>
      <c r="D40" s="18"/>
      <c r="E40" s="59">
        <v>40530</v>
      </c>
      <c r="F40" s="60">
        <v>13510</v>
      </c>
      <c r="G40" s="60">
        <v>13510</v>
      </c>
      <c r="H40" s="59">
        <v>40530</v>
      </c>
      <c r="I40" s="60">
        <v>8604</v>
      </c>
      <c r="J40" s="60">
        <v>8604</v>
      </c>
      <c r="K40" s="59">
        <v>43020</v>
      </c>
      <c r="L40" s="60">
        <v>5589</v>
      </c>
      <c r="M40" s="60">
        <v>5589</v>
      </c>
      <c r="N40" s="59">
        <v>50301</v>
      </c>
      <c r="O40" s="50"/>
      <c r="P40" s="50"/>
      <c r="Q40" s="50"/>
      <c r="R40" s="50"/>
      <c r="S40" s="50"/>
    </row>
    <row r="41" spans="1:19" s="21" customFormat="1" ht="15">
      <c r="A41" s="138">
        <v>7757187692</v>
      </c>
      <c r="B41" s="138" t="s">
        <v>123</v>
      </c>
      <c r="C41" s="138" t="s">
        <v>33</v>
      </c>
      <c r="D41" s="18"/>
      <c r="E41" s="59">
        <v>67320</v>
      </c>
      <c r="F41" s="60">
        <v>22440</v>
      </c>
      <c r="G41" s="60">
        <v>22440</v>
      </c>
      <c r="H41" s="59">
        <v>67320</v>
      </c>
      <c r="I41" s="60">
        <v>14293</v>
      </c>
      <c r="J41" s="60">
        <v>14293</v>
      </c>
      <c r="K41" s="59">
        <v>71465</v>
      </c>
      <c r="L41" s="60">
        <v>9284</v>
      </c>
      <c r="M41" s="60">
        <v>9284</v>
      </c>
      <c r="N41" s="59">
        <v>83556</v>
      </c>
      <c r="O41" s="50"/>
      <c r="P41" s="50"/>
      <c r="Q41" s="50"/>
      <c r="R41" s="50"/>
      <c r="S41" s="50"/>
    </row>
    <row r="42" spans="1:19" s="21" customFormat="1" ht="15">
      <c r="A42" s="138">
        <v>7761970110</v>
      </c>
      <c r="B42" s="138" t="s">
        <v>40</v>
      </c>
      <c r="C42" s="138" t="s">
        <v>70</v>
      </c>
      <c r="D42" s="135"/>
      <c r="E42" s="59">
        <v>125730</v>
      </c>
      <c r="F42" s="60">
        <v>41910</v>
      </c>
      <c r="G42" s="60">
        <v>41910</v>
      </c>
      <c r="H42" s="59">
        <v>125730</v>
      </c>
      <c r="I42" s="60">
        <v>26696</v>
      </c>
      <c r="J42" s="60">
        <v>26696</v>
      </c>
      <c r="K42" s="59">
        <v>133480</v>
      </c>
      <c r="L42" s="60">
        <v>17341</v>
      </c>
      <c r="M42" s="60">
        <v>17341</v>
      </c>
      <c r="N42" s="59">
        <v>156069</v>
      </c>
      <c r="O42" s="50"/>
      <c r="P42" s="50"/>
      <c r="Q42" s="50"/>
      <c r="R42" s="50"/>
      <c r="S42" s="50"/>
    </row>
    <row r="43" spans="1:19" s="21" customFormat="1" ht="15">
      <c r="A43" s="140"/>
      <c r="B43" s="141" t="s">
        <v>396</v>
      </c>
      <c r="C43" s="140"/>
      <c r="D43" s="18"/>
      <c r="E43" s="51"/>
      <c r="F43" s="51"/>
      <c r="G43" s="51"/>
      <c r="H43" s="51"/>
      <c r="I43" s="51"/>
      <c r="J43" s="51"/>
      <c r="K43" s="51"/>
      <c r="L43" s="51"/>
      <c r="M43" s="51"/>
      <c r="N43" s="51"/>
      <c r="O43" s="51"/>
      <c r="P43" s="51"/>
      <c r="Q43" s="51"/>
      <c r="R43" s="51"/>
      <c r="S43" s="51"/>
    </row>
    <row r="44" spans="1:19" s="22" customFormat="1" ht="15">
      <c r="A44" s="138">
        <v>7762770103</v>
      </c>
      <c r="B44" s="138" t="s">
        <v>20</v>
      </c>
      <c r="C44" s="138" t="s">
        <v>45</v>
      </c>
      <c r="D44" s="18"/>
      <c r="E44" s="59">
        <v>40680</v>
      </c>
      <c r="F44" s="60">
        <v>13560</v>
      </c>
      <c r="G44" s="60">
        <v>13560</v>
      </c>
      <c r="H44" s="59">
        <v>40680</v>
      </c>
      <c r="I44" s="60">
        <v>8633</v>
      </c>
      <c r="J44" s="60">
        <v>8633</v>
      </c>
      <c r="K44" s="59">
        <v>43165</v>
      </c>
      <c r="L44" s="60">
        <v>5608</v>
      </c>
      <c r="M44" s="60">
        <v>5608</v>
      </c>
      <c r="N44" s="59">
        <v>50472</v>
      </c>
      <c r="O44" s="134">
        <v>29648</v>
      </c>
      <c r="P44" s="134">
        <v>30833.920000000002</v>
      </c>
      <c r="Q44" s="134">
        <v>32019.840000000004</v>
      </c>
      <c r="R44" s="134">
        <v>33205.760000000002</v>
      </c>
      <c r="S44" s="134">
        <v>34391.68</v>
      </c>
    </row>
    <row r="45" spans="1:19" s="19" customFormat="1" ht="15">
      <c r="A45" s="138">
        <v>7756388608</v>
      </c>
      <c r="B45" s="138" t="s">
        <v>176</v>
      </c>
      <c r="C45" s="138" t="s">
        <v>177</v>
      </c>
      <c r="D45" s="18"/>
      <c r="E45" s="59">
        <v>43230</v>
      </c>
      <c r="F45" s="60">
        <v>14410</v>
      </c>
      <c r="G45" s="60">
        <v>14410</v>
      </c>
      <c r="H45" s="59">
        <v>43230</v>
      </c>
      <c r="I45" s="60">
        <v>9176</v>
      </c>
      <c r="J45" s="60">
        <v>9176</v>
      </c>
      <c r="K45" s="59">
        <v>45880</v>
      </c>
      <c r="L45" s="60">
        <v>5960</v>
      </c>
      <c r="M45" s="60">
        <v>5960</v>
      </c>
      <c r="N45" s="59">
        <v>53640</v>
      </c>
      <c r="O45" s="134">
        <v>31510</v>
      </c>
      <c r="P45" s="134">
        <v>32770.400000000001</v>
      </c>
      <c r="Q45" s="134">
        <v>34030.800000000003</v>
      </c>
      <c r="R45" s="134">
        <v>35291.200000000004</v>
      </c>
      <c r="S45" s="134">
        <v>36551.599999999999</v>
      </c>
    </row>
    <row r="46" spans="1:19" s="22" customFormat="1" ht="15">
      <c r="A46" s="138">
        <v>7762670102</v>
      </c>
      <c r="B46" s="138" t="s">
        <v>21</v>
      </c>
      <c r="C46" s="138" t="s">
        <v>34</v>
      </c>
      <c r="E46" s="59">
        <v>47070</v>
      </c>
      <c r="F46" s="60">
        <v>15690</v>
      </c>
      <c r="G46" s="60">
        <v>15690</v>
      </c>
      <c r="H46" s="59">
        <v>47070</v>
      </c>
      <c r="I46" s="60">
        <v>9990</v>
      </c>
      <c r="J46" s="60">
        <v>9990</v>
      </c>
      <c r="K46" s="59">
        <v>49950</v>
      </c>
      <c r="L46" s="60">
        <v>6490</v>
      </c>
      <c r="M46" s="60">
        <v>6490</v>
      </c>
      <c r="N46" s="59">
        <v>58410</v>
      </c>
      <c r="O46" s="134">
        <v>34308</v>
      </c>
      <c r="P46" s="134">
        <v>35680.32</v>
      </c>
      <c r="Q46" s="134">
        <v>37052.639999999999</v>
      </c>
      <c r="R46" s="134">
        <v>38424.960000000006</v>
      </c>
      <c r="S46" s="134">
        <v>39797.279999999999</v>
      </c>
    </row>
    <row r="47" spans="1:19" s="22" customFormat="1" ht="15">
      <c r="A47" s="138">
        <v>7762780103</v>
      </c>
      <c r="B47" s="138" t="s">
        <v>217</v>
      </c>
      <c r="C47" s="138" t="s">
        <v>219</v>
      </c>
      <c r="D47" s="135"/>
      <c r="E47" s="59">
        <v>27480</v>
      </c>
      <c r="F47" s="60">
        <v>9160</v>
      </c>
      <c r="G47" s="60">
        <v>9160</v>
      </c>
      <c r="H47" s="59">
        <v>27480</v>
      </c>
      <c r="I47" s="60">
        <v>5832</v>
      </c>
      <c r="J47" s="60">
        <v>5832</v>
      </c>
      <c r="K47" s="59">
        <v>29160</v>
      </c>
      <c r="L47" s="60">
        <v>3788</v>
      </c>
      <c r="M47" s="60">
        <v>3788</v>
      </c>
      <c r="N47" s="59">
        <v>34092</v>
      </c>
      <c r="O47" s="134">
        <v>20028</v>
      </c>
      <c r="P47" s="41">
        <v>20829.12</v>
      </c>
      <c r="Q47" s="41">
        <v>21630.240000000002</v>
      </c>
      <c r="R47" s="41">
        <v>22431.360000000001</v>
      </c>
      <c r="S47" s="41">
        <v>23232.48</v>
      </c>
    </row>
    <row r="48" spans="1:19" s="22" customFormat="1" ht="15">
      <c r="A48" s="140"/>
      <c r="B48" s="141" t="s">
        <v>397</v>
      </c>
      <c r="C48" s="140"/>
      <c r="D48" s="18"/>
      <c r="E48" s="51"/>
      <c r="F48" s="51"/>
      <c r="G48" s="51"/>
      <c r="H48" s="51"/>
      <c r="I48" s="51"/>
      <c r="J48" s="51"/>
      <c r="K48" s="51"/>
      <c r="L48" s="51"/>
      <c r="M48" s="51"/>
      <c r="N48" s="51"/>
      <c r="O48" s="51"/>
      <c r="P48" s="51"/>
      <c r="Q48" s="51"/>
      <c r="R48" s="51"/>
      <c r="S48" s="51"/>
    </row>
    <row r="49" spans="1:19" s="22" customFormat="1" ht="15">
      <c r="A49" s="138">
        <v>8770671100</v>
      </c>
      <c r="B49" s="138" t="s">
        <v>156</v>
      </c>
      <c r="C49" s="138" t="s">
        <v>35</v>
      </c>
      <c r="D49" s="18"/>
      <c r="E49" s="59">
        <v>44610</v>
      </c>
      <c r="F49" s="60">
        <v>14870</v>
      </c>
      <c r="G49" s="60">
        <v>14870</v>
      </c>
      <c r="H49" s="59">
        <v>44610</v>
      </c>
      <c r="I49" s="60">
        <v>9472</v>
      </c>
      <c r="J49" s="60">
        <v>9472</v>
      </c>
      <c r="K49" s="59">
        <v>47360</v>
      </c>
      <c r="L49" s="60">
        <v>6152</v>
      </c>
      <c r="M49" s="60">
        <v>6152</v>
      </c>
      <c r="N49" s="59">
        <v>55368</v>
      </c>
      <c r="O49" s="134">
        <v>32526</v>
      </c>
      <c r="P49" s="134">
        <v>33827.040000000001</v>
      </c>
      <c r="Q49" s="134">
        <v>35128.080000000002</v>
      </c>
      <c r="R49" s="134">
        <v>36429.120000000003</v>
      </c>
      <c r="S49" s="134">
        <v>37730.159999999996</v>
      </c>
    </row>
    <row r="50" spans="1:19" s="19" customFormat="1" ht="15">
      <c r="A50" s="138">
        <v>8770741100</v>
      </c>
      <c r="B50" s="138" t="s">
        <v>157</v>
      </c>
      <c r="C50" s="138" t="s">
        <v>158</v>
      </c>
      <c r="E50" s="59">
        <v>44610</v>
      </c>
      <c r="F50" s="60">
        <v>14870</v>
      </c>
      <c r="G50" s="60">
        <v>14870</v>
      </c>
      <c r="H50" s="59">
        <v>44610</v>
      </c>
      <c r="I50" s="60">
        <v>9472</v>
      </c>
      <c r="J50" s="60">
        <v>9472</v>
      </c>
      <c r="K50" s="59">
        <v>47360</v>
      </c>
      <c r="L50" s="60">
        <v>6152</v>
      </c>
      <c r="M50" s="60">
        <v>6152</v>
      </c>
      <c r="N50" s="59">
        <v>55368</v>
      </c>
      <c r="O50" s="134">
        <v>32526</v>
      </c>
      <c r="P50" s="134">
        <v>33827.040000000001</v>
      </c>
      <c r="Q50" s="134">
        <v>35128.080000000002</v>
      </c>
      <c r="R50" s="134">
        <v>36429.120000000003</v>
      </c>
      <c r="S50" s="134">
        <v>37730.159999999996</v>
      </c>
    </row>
    <row r="51" spans="1:19" s="19" customFormat="1" ht="15">
      <c r="A51" s="138">
        <v>8770751100</v>
      </c>
      <c r="B51" s="138" t="s">
        <v>159</v>
      </c>
      <c r="C51" s="138" t="s">
        <v>160</v>
      </c>
      <c r="D51" s="135"/>
      <c r="E51" s="59">
        <v>44610</v>
      </c>
      <c r="F51" s="60">
        <v>14870</v>
      </c>
      <c r="G51" s="60">
        <v>14870</v>
      </c>
      <c r="H51" s="59">
        <v>44610</v>
      </c>
      <c r="I51" s="60">
        <v>9472</v>
      </c>
      <c r="J51" s="60">
        <v>9472</v>
      </c>
      <c r="K51" s="59">
        <v>47360</v>
      </c>
      <c r="L51" s="60">
        <v>6152</v>
      </c>
      <c r="M51" s="60">
        <v>6152</v>
      </c>
      <c r="N51" s="59">
        <v>55368</v>
      </c>
      <c r="O51" s="134">
        <v>32526</v>
      </c>
      <c r="P51" s="41">
        <v>33827.040000000001</v>
      </c>
      <c r="Q51" s="41">
        <v>35128.080000000002</v>
      </c>
      <c r="R51" s="41">
        <v>36429.120000000003</v>
      </c>
      <c r="S51" s="41">
        <v>37730.159999999996</v>
      </c>
    </row>
    <row r="52" spans="1:19" s="19" customFormat="1" ht="15">
      <c r="A52" s="140"/>
      <c r="B52" s="141" t="s">
        <v>398</v>
      </c>
      <c r="C52" s="140"/>
      <c r="D52" s="18"/>
      <c r="E52" s="51"/>
      <c r="F52" s="51"/>
      <c r="G52" s="51"/>
      <c r="H52" s="51"/>
      <c r="I52" s="51"/>
      <c r="J52" s="51"/>
      <c r="K52" s="51"/>
      <c r="L52" s="51"/>
      <c r="M52" s="51"/>
      <c r="N52" s="51"/>
      <c r="O52" s="51"/>
      <c r="P52" s="51"/>
      <c r="Q52" s="51"/>
      <c r="R52" s="51"/>
      <c r="S52" s="51"/>
    </row>
    <row r="53" spans="1:19" s="19" customFormat="1" ht="15">
      <c r="A53" s="139">
        <v>7763680144</v>
      </c>
      <c r="B53" s="139" t="s">
        <v>249</v>
      </c>
      <c r="C53" s="138" t="s">
        <v>250</v>
      </c>
      <c r="D53" s="18"/>
      <c r="E53" s="59">
        <v>42690</v>
      </c>
      <c r="F53" s="60">
        <v>14230</v>
      </c>
      <c r="G53" s="60">
        <v>14230</v>
      </c>
      <c r="H53" s="59">
        <v>42690</v>
      </c>
      <c r="I53" s="60">
        <v>9066</v>
      </c>
      <c r="J53" s="60">
        <v>9066</v>
      </c>
      <c r="K53" s="59">
        <v>45330</v>
      </c>
      <c r="L53" s="60">
        <v>5889</v>
      </c>
      <c r="M53" s="60">
        <v>5889</v>
      </c>
      <c r="N53" s="59">
        <v>53001</v>
      </c>
      <c r="O53" s="134">
        <v>31133</v>
      </c>
      <c r="P53" s="134">
        <v>32378.32</v>
      </c>
      <c r="Q53" s="134">
        <v>33623.64</v>
      </c>
      <c r="R53" s="134">
        <v>34868.960000000006</v>
      </c>
      <c r="S53" s="134">
        <v>36114.28</v>
      </c>
    </row>
    <row r="54" spans="1:19" s="19" customFormat="1" ht="15">
      <c r="A54" s="139">
        <v>7763680145</v>
      </c>
      <c r="B54" s="139" t="s">
        <v>251</v>
      </c>
      <c r="C54" s="138" t="s">
        <v>252</v>
      </c>
      <c r="D54" s="18"/>
      <c r="E54" s="59">
        <v>42690</v>
      </c>
      <c r="F54" s="60">
        <v>14230</v>
      </c>
      <c r="G54" s="60">
        <v>14230</v>
      </c>
      <c r="H54" s="59">
        <v>42690</v>
      </c>
      <c r="I54" s="60">
        <v>9066</v>
      </c>
      <c r="J54" s="60">
        <v>9066</v>
      </c>
      <c r="K54" s="59">
        <v>45330</v>
      </c>
      <c r="L54" s="60">
        <v>5889</v>
      </c>
      <c r="M54" s="60">
        <v>5889</v>
      </c>
      <c r="N54" s="59">
        <v>53001</v>
      </c>
      <c r="O54" s="134">
        <v>31133</v>
      </c>
      <c r="P54" s="134">
        <v>32378.32</v>
      </c>
      <c r="Q54" s="134">
        <v>33623.64</v>
      </c>
      <c r="R54" s="134">
        <v>34868.960000000006</v>
      </c>
      <c r="S54" s="134">
        <v>36114.28</v>
      </c>
    </row>
    <row r="55" spans="1:19" s="19" customFormat="1" ht="15">
      <c r="A55" s="139">
        <v>7763680146</v>
      </c>
      <c r="B55" s="139" t="s">
        <v>253</v>
      </c>
      <c r="C55" s="138" t="s">
        <v>254</v>
      </c>
      <c r="D55" s="18"/>
      <c r="E55" s="59">
        <v>42690</v>
      </c>
      <c r="F55" s="60">
        <v>14230</v>
      </c>
      <c r="G55" s="60">
        <v>14230</v>
      </c>
      <c r="H55" s="59">
        <v>42690</v>
      </c>
      <c r="I55" s="60">
        <v>9066</v>
      </c>
      <c r="J55" s="60">
        <v>9066</v>
      </c>
      <c r="K55" s="59">
        <v>45330</v>
      </c>
      <c r="L55" s="60">
        <v>5889</v>
      </c>
      <c r="M55" s="60">
        <v>5889</v>
      </c>
      <c r="N55" s="59">
        <v>53001</v>
      </c>
      <c r="O55" s="134">
        <v>31133</v>
      </c>
      <c r="P55" s="134">
        <v>32378.32</v>
      </c>
      <c r="Q55" s="134">
        <v>33623.64</v>
      </c>
      <c r="R55" s="134">
        <v>34868.960000000006</v>
      </c>
      <c r="S55" s="134">
        <v>36114.28</v>
      </c>
    </row>
    <row r="56" spans="1:19" s="19" customFormat="1" ht="15">
      <c r="A56" s="138">
        <v>7763680132</v>
      </c>
      <c r="B56" s="138" t="s">
        <v>124</v>
      </c>
      <c r="C56" s="138" t="s">
        <v>125</v>
      </c>
      <c r="D56" s="18"/>
      <c r="E56" s="59">
        <v>25170</v>
      </c>
      <c r="F56" s="60">
        <v>8390</v>
      </c>
      <c r="G56" s="60">
        <v>8390</v>
      </c>
      <c r="H56" s="59">
        <v>25170</v>
      </c>
      <c r="I56" s="60">
        <v>5344</v>
      </c>
      <c r="J56" s="60">
        <v>5344</v>
      </c>
      <c r="K56" s="59">
        <v>26720</v>
      </c>
      <c r="L56" s="60">
        <v>3472</v>
      </c>
      <c r="M56" s="60">
        <v>3472</v>
      </c>
      <c r="N56" s="59">
        <v>31248</v>
      </c>
      <c r="O56" s="134">
        <v>18353</v>
      </c>
      <c r="P56" s="134">
        <v>19087.12</v>
      </c>
      <c r="Q56" s="134">
        <v>19821.240000000002</v>
      </c>
      <c r="R56" s="134">
        <v>20555.36</v>
      </c>
      <c r="S56" s="134">
        <v>21289.48</v>
      </c>
    </row>
    <row r="57" spans="1:19" s="19" customFormat="1" ht="15">
      <c r="A57" s="138">
        <v>7763680130</v>
      </c>
      <c r="B57" s="138" t="s">
        <v>126</v>
      </c>
      <c r="C57" s="138" t="s">
        <v>127</v>
      </c>
      <c r="D57" s="18"/>
      <c r="E57" s="59">
        <v>25170</v>
      </c>
      <c r="F57" s="60">
        <v>8390</v>
      </c>
      <c r="G57" s="60">
        <v>8390</v>
      </c>
      <c r="H57" s="59">
        <v>25170</v>
      </c>
      <c r="I57" s="60">
        <v>5344</v>
      </c>
      <c r="J57" s="60">
        <v>5344</v>
      </c>
      <c r="K57" s="59">
        <v>26720</v>
      </c>
      <c r="L57" s="60">
        <v>3472</v>
      </c>
      <c r="M57" s="60">
        <v>3472</v>
      </c>
      <c r="N57" s="59">
        <v>31248</v>
      </c>
      <c r="O57" s="134">
        <v>18353</v>
      </c>
      <c r="P57" s="134">
        <v>19087.12</v>
      </c>
      <c r="Q57" s="134">
        <v>19821.240000000002</v>
      </c>
      <c r="R57" s="134">
        <v>20555.36</v>
      </c>
      <c r="S57" s="134">
        <v>21289.48</v>
      </c>
    </row>
    <row r="58" spans="1:19" s="19" customFormat="1" ht="15">
      <c r="A58" s="138">
        <v>7763680131</v>
      </c>
      <c r="B58" s="138" t="s">
        <v>128</v>
      </c>
      <c r="C58" s="138" t="s">
        <v>129</v>
      </c>
      <c r="E58" s="59">
        <v>25170</v>
      </c>
      <c r="F58" s="60">
        <v>8390</v>
      </c>
      <c r="G58" s="60">
        <v>8390</v>
      </c>
      <c r="H58" s="59">
        <v>25170</v>
      </c>
      <c r="I58" s="60">
        <v>5344</v>
      </c>
      <c r="J58" s="60">
        <v>5344</v>
      </c>
      <c r="K58" s="59">
        <v>26720</v>
      </c>
      <c r="L58" s="60">
        <v>3472</v>
      </c>
      <c r="M58" s="60">
        <v>3472</v>
      </c>
      <c r="N58" s="59">
        <v>31248</v>
      </c>
      <c r="O58" s="134">
        <v>18353</v>
      </c>
      <c r="P58" s="134">
        <v>19087.12</v>
      </c>
      <c r="Q58" s="134">
        <v>19821.240000000002</v>
      </c>
      <c r="R58" s="134">
        <v>20555.36</v>
      </c>
      <c r="S58" s="134">
        <v>21289.48</v>
      </c>
    </row>
    <row r="59" spans="1:19" s="19" customFormat="1" ht="15">
      <c r="A59" s="138">
        <v>7785070161</v>
      </c>
      <c r="B59" s="138" t="s">
        <v>38</v>
      </c>
      <c r="C59" s="138" t="s">
        <v>71</v>
      </c>
      <c r="D59" s="135"/>
      <c r="E59" s="59">
        <v>31650</v>
      </c>
      <c r="F59" s="60">
        <v>10550</v>
      </c>
      <c r="G59" s="60">
        <v>10550</v>
      </c>
      <c r="H59" s="59">
        <v>31650</v>
      </c>
      <c r="I59" s="60">
        <v>6719</v>
      </c>
      <c r="J59" s="60">
        <v>6719</v>
      </c>
      <c r="K59" s="59">
        <v>33595</v>
      </c>
      <c r="L59" s="60">
        <v>4365</v>
      </c>
      <c r="M59" s="60">
        <v>4365</v>
      </c>
      <c r="N59" s="59">
        <v>39285</v>
      </c>
      <c r="O59" s="134">
        <v>23074</v>
      </c>
      <c r="P59" s="41">
        <v>23996.959999999999</v>
      </c>
      <c r="Q59" s="41">
        <v>24919.920000000002</v>
      </c>
      <c r="R59" s="41">
        <v>25842.880000000001</v>
      </c>
      <c r="S59" s="41">
        <v>26765.839999999997</v>
      </c>
    </row>
    <row r="60" spans="1:19" s="19" customFormat="1" ht="15">
      <c r="A60" s="140"/>
      <c r="B60" s="141" t="s">
        <v>399</v>
      </c>
      <c r="C60" s="140"/>
      <c r="D60" s="18"/>
      <c r="E60" s="51"/>
      <c r="F60" s="51"/>
      <c r="G60" s="51"/>
      <c r="H60" s="51"/>
      <c r="I60" s="51"/>
      <c r="J60" s="51"/>
      <c r="K60" s="51"/>
      <c r="L60" s="51"/>
      <c r="M60" s="51"/>
      <c r="N60" s="51"/>
      <c r="O60" s="51"/>
      <c r="P60" s="51"/>
      <c r="Q60" s="51"/>
      <c r="R60" s="51"/>
      <c r="S60" s="51"/>
    </row>
    <row r="61" spans="1:19" s="19" customFormat="1" ht="15">
      <c r="A61" s="138">
        <v>7763680101</v>
      </c>
      <c r="B61" s="138" t="s">
        <v>59</v>
      </c>
      <c r="C61" s="138" t="s">
        <v>46</v>
      </c>
      <c r="D61" s="18"/>
      <c r="E61" s="59">
        <v>15240</v>
      </c>
      <c r="F61" s="60">
        <v>5080</v>
      </c>
      <c r="G61" s="60">
        <v>5080</v>
      </c>
      <c r="H61" s="59">
        <v>15240</v>
      </c>
      <c r="I61" s="60">
        <v>3234</v>
      </c>
      <c r="J61" s="60">
        <v>3234</v>
      </c>
      <c r="K61" s="59">
        <v>16170</v>
      </c>
      <c r="L61" s="60">
        <v>2101</v>
      </c>
      <c r="M61" s="60">
        <v>2101</v>
      </c>
      <c r="N61" s="59">
        <v>18909</v>
      </c>
      <c r="O61" s="134">
        <v>11105</v>
      </c>
      <c r="P61" s="134">
        <v>11549.2</v>
      </c>
      <c r="Q61" s="134">
        <v>11993.400000000001</v>
      </c>
      <c r="R61" s="134">
        <v>12437.6</v>
      </c>
      <c r="S61" s="134">
        <v>12881.8</v>
      </c>
    </row>
    <row r="62" spans="1:19" s="19" customFormat="1" ht="15">
      <c r="A62" s="138">
        <v>7763680102</v>
      </c>
      <c r="B62" s="138" t="s">
        <v>143</v>
      </c>
      <c r="C62" s="138" t="s">
        <v>47</v>
      </c>
      <c r="D62" s="18"/>
      <c r="E62" s="59">
        <v>15240</v>
      </c>
      <c r="F62" s="60">
        <v>5080</v>
      </c>
      <c r="G62" s="60">
        <v>5080</v>
      </c>
      <c r="H62" s="59">
        <v>15240</v>
      </c>
      <c r="I62" s="60">
        <v>3234</v>
      </c>
      <c r="J62" s="60">
        <v>3234</v>
      </c>
      <c r="K62" s="59">
        <v>16170</v>
      </c>
      <c r="L62" s="60">
        <v>2101</v>
      </c>
      <c r="M62" s="60">
        <v>2101</v>
      </c>
      <c r="N62" s="59">
        <v>18909</v>
      </c>
      <c r="O62" s="134">
        <v>11105</v>
      </c>
      <c r="P62" s="134">
        <v>11549.2</v>
      </c>
      <c r="Q62" s="134">
        <v>11993.400000000001</v>
      </c>
      <c r="R62" s="134">
        <v>12437.6</v>
      </c>
      <c r="S62" s="134">
        <v>12881.8</v>
      </c>
    </row>
    <row r="63" spans="1:19" s="19" customFormat="1" ht="15">
      <c r="A63" s="138">
        <v>7763680103</v>
      </c>
      <c r="B63" s="138" t="s">
        <v>77</v>
      </c>
      <c r="C63" s="138" t="s">
        <v>48</v>
      </c>
      <c r="D63" s="18"/>
      <c r="E63" s="59">
        <v>15240</v>
      </c>
      <c r="F63" s="60">
        <v>5080</v>
      </c>
      <c r="G63" s="60">
        <v>5080</v>
      </c>
      <c r="H63" s="59">
        <v>15240</v>
      </c>
      <c r="I63" s="60">
        <v>3234</v>
      </c>
      <c r="J63" s="60">
        <v>3234</v>
      </c>
      <c r="K63" s="59">
        <v>16170</v>
      </c>
      <c r="L63" s="60">
        <v>2101</v>
      </c>
      <c r="M63" s="60">
        <v>2101</v>
      </c>
      <c r="N63" s="59">
        <v>18909</v>
      </c>
      <c r="O63" s="134">
        <v>11105</v>
      </c>
      <c r="P63" s="134">
        <v>11549.2</v>
      </c>
      <c r="Q63" s="134">
        <v>11993.400000000001</v>
      </c>
      <c r="R63" s="134">
        <v>12437.6</v>
      </c>
      <c r="S63" s="134">
        <v>12881.8</v>
      </c>
    </row>
    <row r="64" spans="1:19" s="19" customFormat="1" ht="15">
      <c r="A64">
        <v>7763680148</v>
      </c>
      <c r="B64" s="138" t="s">
        <v>166</v>
      </c>
      <c r="C64" s="138" t="s">
        <v>167</v>
      </c>
      <c r="D64" s="18"/>
      <c r="E64" s="59">
        <v>16710</v>
      </c>
      <c r="F64" s="60">
        <v>5570</v>
      </c>
      <c r="G64" s="60">
        <v>5570</v>
      </c>
      <c r="H64" s="59">
        <v>16710</v>
      </c>
      <c r="I64" s="60">
        <v>3545</v>
      </c>
      <c r="J64" s="60">
        <v>3545</v>
      </c>
      <c r="K64" s="59">
        <v>17725</v>
      </c>
      <c r="L64" s="60">
        <v>2303</v>
      </c>
      <c r="M64" s="60">
        <v>2303</v>
      </c>
      <c r="N64" s="59">
        <v>20727</v>
      </c>
      <c r="O64" s="134">
        <v>12173</v>
      </c>
      <c r="P64" s="134">
        <v>12659.92</v>
      </c>
      <c r="Q64" s="134">
        <v>13146.84</v>
      </c>
      <c r="R64" s="134">
        <v>13633.760000000002</v>
      </c>
      <c r="S64" s="134">
        <v>14120.679999999998</v>
      </c>
    </row>
    <row r="65" spans="1:19" s="19" customFormat="1" ht="15">
      <c r="A65">
        <v>7763680149</v>
      </c>
      <c r="B65" s="138" t="s">
        <v>168</v>
      </c>
      <c r="C65" s="138" t="s">
        <v>169</v>
      </c>
      <c r="D65" s="18"/>
      <c r="E65" s="59">
        <v>16710</v>
      </c>
      <c r="F65" s="60">
        <v>5570</v>
      </c>
      <c r="G65" s="60">
        <v>5570</v>
      </c>
      <c r="H65" s="59">
        <v>16710</v>
      </c>
      <c r="I65" s="60">
        <v>3545</v>
      </c>
      <c r="J65" s="60">
        <v>3545</v>
      </c>
      <c r="K65" s="59">
        <v>17725</v>
      </c>
      <c r="L65" s="60">
        <v>2303</v>
      </c>
      <c r="M65" s="60">
        <v>2303</v>
      </c>
      <c r="N65" s="59">
        <v>20727</v>
      </c>
      <c r="O65" s="134">
        <v>12173</v>
      </c>
      <c r="P65" s="134">
        <v>12659.92</v>
      </c>
      <c r="Q65" s="134">
        <v>13146.84</v>
      </c>
      <c r="R65" s="134">
        <v>13633.760000000002</v>
      </c>
      <c r="S65" s="134">
        <v>14120.679999999998</v>
      </c>
    </row>
    <row r="66" spans="1:19" s="19" customFormat="1" ht="15">
      <c r="A66">
        <v>7763680150</v>
      </c>
      <c r="B66" s="138" t="s">
        <v>170</v>
      </c>
      <c r="C66" s="138" t="s">
        <v>171</v>
      </c>
      <c r="D66" s="18"/>
      <c r="E66" s="59">
        <v>16710</v>
      </c>
      <c r="F66" s="60">
        <v>5570</v>
      </c>
      <c r="G66" s="60">
        <v>5570</v>
      </c>
      <c r="H66" s="59">
        <v>16710</v>
      </c>
      <c r="I66" s="60">
        <v>3545</v>
      </c>
      <c r="J66" s="60">
        <v>3545</v>
      </c>
      <c r="K66" s="59">
        <v>17725</v>
      </c>
      <c r="L66" s="60">
        <v>2303</v>
      </c>
      <c r="M66" s="60">
        <v>2303</v>
      </c>
      <c r="N66" s="59">
        <v>20727</v>
      </c>
      <c r="O66" s="134">
        <v>12173</v>
      </c>
      <c r="P66" s="134">
        <v>12659.92</v>
      </c>
      <c r="Q66" s="134">
        <v>13146.84</v>
      </c>
      <c r="R66" s="134">
        <v>13633.760000000002</v>
      </c>
      <c r="S66" s="134">
        <v>14120.679999999998</v>
      </c>
    </row>
    <row r="67" spans="1:19" s="19" customFormat="1" ht="15">
      <c r="A67" s="138">
        <v>7763680120</v>
      </c>
      <c r="B67" s="138" t="s">
        <v>63</v>
      </c>
      <c r="C67" s="138" t="s">
        <v>64</v>
      </c>
      <c r="D67" s="18"/>
      <c r="E67" s="59">
        <v>26790</v>
      </c>
      <c r="F67" s="60">
        <v>8930</v>
      </c>
      <c r="G67" s="60">
        <v>8930</v>
      </c>
      <c r="H67" s="59">
        <v>26790</v>
      </c>
      <c r="I67" s="60">
        <v>5686</v>
      </c>
      <c r="J67" s="60">
        <v>5686</v>
      </c>
      <c r="K67" s="59">
        <v>28430</v>
      </c>
      <c r="L67" s="60">
        <v>3693</v>
      </c>
      <c r="M67" s="60">
        <v>3693</v>
      </c>
      <c r="N67" s="59">
        <v>33237</v>
      </c>
      <c r="O67" s="134">
        <v>19526</v>
      </c>
      <c r="P67" s="134">
        <v>20307.04</v>
      </c>
      <c r="Q67" s="134">
        <v>21088.080000000002</v>
      </c>
      <c r="R67" s="134">
        <v>21869.120000000003</v>
      </c>
      <c r="S67" s="134">
        <v>22650.16</v>
      </c>
    </row>
    <row r="68" spans="1:19" s="19" customFormat="1" ht="15">
      <c r="A68" s="138">
        <v>7763680121</v>
      </c>
      <c r="B68" s="138" t="s">
        <v>65</v>
      </c>
      <c r="C68" s="138" t="s">
        <v>66</v>
      </c>
      <c r="D68" s="18"/>
      <c r="E68" s="59">
        <v>26790</v>
      </c>
      <c r="F68" s="60">
        <v>8930</v>
      </c>
      <c r="G68" s="60">
        <v>8930</v>
      </c>
      <c r="H68" s="59">
        <v>26790</v>
      </c>
      <c r="I68" s="60">
        <v>5686</v>
      </c>
      <c r="J68" s="60">
        <v>5686</v>
      </c>
      <c r="K68" s="59">
        <v>28430</v>
      </c>
      <c r="L68" s="60">
        <v>3693</v>
      </c>
      <c r="M68" s="60">
        <v>3693</v>
      </c>
      <c r="N68" s="59">
        <v>33237</v>
      </c>
      <c r="O68" s="134">
        <v>19526</v>
      </c>
      <c r="P68" s="134">
        <v>20307.04</v>
      </c>
      <c r="Q68" s="134">
        <v>21088.080000000002</v>
      </c>
      <c r="R68" s="134">
        <v>21869.120000000003</v>
      </c>
      <c r="S68" s="134">
        <v>22650.16</v>
      </c>
    </row>
    <row r="69" spans="1:19" s="19" customFormat="1" ht="15">
      <c r="A69" s="138">
        <v>7763680122</v>
      </c>
      <c r="B69" s="138" t="s">
        <v>67</v>
      </c>
      <c r="C69" s="138" t="s">
        <v>68</v>
      </c>
      <c r="D69" s="18"/>
      <c r="E69" s="59">
        <v>26790</v>
      </c>
      <c r="F69" s="60">
        <v>8930</v>
      </c>
      <c r="G69" s="60">
        <v>8930</v>
      </c>
      <c r="H69" s="59">
        <v>26790</v>
      </c>
      <c r="I69" s="60">
        <v>5686</v>
      </c>
      <c r="J69" s="60">
        <v>5686</v>
      </c>
      <c r="K69" s="59">
        <v>28430</v>
      </c>
      <c r="L69" s="60">
        <v>3693</v>
      </c>
      <c r="M69" s="60">
        <v>3693</v>
      </c>
      <c r="N69" s="59">
        <v>33237</v>
      </c>
      <c r="O69" s="134">
        <v>19526</v>
      </c>
      <c r="P69" s="134">
        <v>20307.04</v>
      </c>
      <c r="Q69" s="134">
        <v>21088.080000000002</v>
      </c>
      <c r="R69" s="134">
        <v>21869.120000000003</v>
      </c>
      <c r="S69" s="134">
        <v>22650.16</v>
      </c>
    </row>
    <row r="70" spans="1:19" s="19" customFormat="1" ht="15">
      <c r="A70" s="138">
        <v>7763680140</v>
      </c>
      <c r="B70" s="138" t="s">
        <v>243</v>
      </c>
      <c r="C70" s="138" t="s">
        <v>244</v>
      </c>
      <c r="D70" s="18"/>
      <c r="E70" s="59">
        <v>26790</v>
      </c>
      <c r="F70" s="60">
        <v>8930</v>
      </c>
      <c r="G70" s="60">
        <v>8930</v>
      </c>
      <c r="H70" s="59">
        <v>26790</v>
      </c>
      <c r="I70" s="60">
        <v>5686</v>
      </c>
      <c r="J70" s="60">
        <v>5686</v>
      </c>
      <c r="K70" s="59">
        <v>28430</v>
      </c>
      <c r="L70" s="60">
        <v>3693</v>
      </c>
      <c r="M70" s="60">
        <v>3693</v>
      </c>
      <c r="N70" s="59">
        <v>33237</v>
      </c>
      <c r="O70" s="134">
        <v>19526</v>
      </c>
      <c r="P70" s="134">
        <v>20307.04</v>
      </c>
      <c r="Q70" s="134">
        <v>21088.080000000002</v>
      </c>
      <c r="R70" s="134">
        <v>21869.120000000003</v>
      </c>
      <c r="S70" s="134">
        <v>22650.16</v>
      </c>
    </row>
    <row r="71" spans="1:19" s="19" customFormat="1" ht="15">
      <c r="A71" s="138">
        <v>7763670153</v>
      </c>
      <c r="B71" s="138" t="s">
        <v>10</v>
      </c>
      <c r="C71" s="138" t="s">
        <v>41</v>
      </c>
      <c r="D71" s="18"/>
      <c r="E71" s="59">
        <v>15240</v>
      </c>
      <c r="F71" s="60">
        <v>5080</v>
      </c>
      <c r="G71" s="60">
        <v>5080</v>
      </c>
      <c r="H71" s="59">
        <v>15240</v>
      </c>
      <c r="I71" s="60">
        <v>3234</v>
      </c>
      <c r="J71" s="60">
        <v>3234</v>
      </c>
      <c r="K71" s="59">
        <v>16170</v>
      </c>
      <c r="L71" s="60">
        <v>2101</v>
      </c>
      <c r="M71" s="60">
        <v>2101</v>
      </c>
      <c r="N71" s="59">
        <v>18909</v>
      </c>
      <c r="O71" s="134">
        <v>11105</v>
      </c>
      <c r="P71" s="134">
        <v>11549.2</v>
      </c>
      <c r="Q71" s="134">
        <v>11993.400000000001</v>
      </c>
      <c r="R71" s="134">
        <v>12437.6</v>
      </c>
      <c r="S71" s="134">
        <v>12881.8</v>
      </c>
    </row>
    <row r="72" spans="1:19" s="19" customFormat="1" ht="15">
      <c r="A72" s="138">
        <v>7763670160</v>
      </c>
      <c r="B72" s="138" t="s">
        <v>11</v>
      </c>
      <c r="C72" s="138" t="s">
        <v>44</v>
      </c>
      <c r="D72" s="18"/>
      <c r="E72" s="59">
        <v>15240</v>
      </c>
      <c r="F72" s="60">
        <v>5080</v>
      </c>
      <c r="G72" s="60">
        <v>5080</v>
      </c>
      <c r="H72" s="59">
        <v>15240</v>
      </c>
      <c r="I72" s="60">
        <v>3234</v>
      </c>
      <c r="J72" s="60">
        <v>3234</v>
      </c>
      <c r="K72" s="59">
        <v>16170</v>
      </c>
      <c r="L72" s="60">
        <v>2101</v>
      </c>
      <c r="M72" s="60">
        <v>2101</v>
      </c>
      <c r="N72" s="59">
        <v>18909</v>
      </c>
      <c r="O72" s="134">
        <v>11105</v>
      </c>
      <c r="P72" s="134">
        <v>11549.2</v>
      </c>
      <c r="Q72" s="134">
        <v>11993.400000000001</v>
      </c>
      <c r="R72" s="134">
        <v>12437.6</v>
      </c>
      <c r="S72" s="134">
        <v>12881.8</v>
      </c>
    </row>
    <row r="73" spans="1:19" s="19" customFormat="1" ht="15">
      <c r="A73" s="138">
        <v>7763670152</v>
      </c>
      <c r="B73" s="138" t="s">
        <v>12</v>
      </c>
      <c r="C73" s="138" t="s">
        <v>41</v>
      </c>
      <c r="D73" s="18"/>
      <c r="E73" s="59">
        <v>15240</v>
      </c>
      <c r="F73" s="60">
        <v>5080</v>
      </c>
      <c r="G73" s="60">
        <v>5080</v>
      </c>
      <c r="H73" s="59">
        <v>15240</v>
      </c>
      <c r="I73" s="60">
        <v>3234</v>
      </c>
      <c r="J73" s="60">
        <v>3234</v>
      </c>
      <c r="K73" s="59">
        <v>16170</v>
      </c>
      <c r="L73" s="60">
        <v>2101</v>
      </c>
      <c r="M73" s="60">
        <v>2101</v>
      </c>
      <c r="N73" s="59">
        <v>18909</v>
      </c>
      <c r="O73" s="134">
        <v>11105</v>
      </c>
      <c r="P73" s="134">
        <v>11549.2</v>
      </c>
      <c r="Q73" s="134">
        <v>11993.400000000001</v>
      </c>
      <c r="R73" s="134">
        <v>12437.6</v>
      </c>
      <c r="S73" s="134">
        <v>12881.8</v>
      </c>
    </row>
    <row r="74" spans="1:19" s="19" customFormat="1" ht="15">
      <c r="A74" s="138">
        <v>7763670175</v>
      </c>
      <c r="B74" s="138" t="s">
        <v>13</v>
      </c>
      <c r="C74" s="138" t="s">
        <v>49</v>
      </c>
      <c r="D74" s="18"/>
      <c r="E74" s="59">
        <v>20610</v>
      </c>
      <c r="F74" s="60">
        <v>6870</v>
      </c>
      <c r="G74" s="60">
        <v>6870</v>
      </c>
      <c r="H74" s="59">
        <v>20610</v>
      </c>
      <c r="I74" s="60">
        <v>4377</v>
      </c>
      <c r="J74" s="60">
        <v>4377</v>
      </c>
      <c r="K74" s="59">
        <v>21885</v>
      </c>
      <c r="L74" s="60">
        <v>2843</v>
      </c>
      <c r="M74" s="60">
        <v>2843</v>
      </c>
      <c r="N74" s="59">
        <v>25587</v>
      </c>
      <c r="O74" s="134">
        <v>15031</v>
      </c>
      <c r="P74" s="134">
        <v>15632.24</v>
      </c>
      <c r="Q74" s="134">
        <v>16233.480000000001</v>
      </c>
      <c r="R74" s="134">
        <v>16834.72</v>
      </c>
      <c r="S74" s="134">
        <v>17435.96</v>
      </c>
    </row>
    <row r="75" spans="1:19" s="19" customFormat="1" ht="15">
      <c r="A75" s="138">
        <v>7763670148</v>
      </c>
      <c r="B75" s="138" t="s">
        <v>14</v>
      </c>
      <c r="C75" s="138" t="s">
        <v>50</v>
      </c>
      <c r="D75" s="135"/>
      <c r="E75" s="59">
        <v>20610</v>
      </c>
      <c r="F75" s="60">
        <v>6870</v>
      </c>
      <c r="G75" s="60">
        <v>6870</v>
      </c>
      <c r="H75" s="59">
        <v>20610</v>
      </c>
      <c r="I75" s="60">
        <v>4377</v>
      </c>
      <c r="J75" s="60">
        <v>4377</v>
      </c>
      <c r="K75" s="59">
        <v>21885</v>
      </c>
      <c r="L75" s="60">
        <v>2843</v>
      </c>
      <c r="M75" s="60">
        <v>2843</v>
      </c>
      <c r="N75" s="59">
        <v>25587</v>
      </c>
      <c r="O75" s="134">
        <v>15031</v>
      </c>
      <c r="P75" s="41">
        <v>15632.24</v>
      </c>
      <c r="Q75" s="41">
        <v>16233.480000000001</v>
      </c>
      <c r="R75" s="41">
        <v>16834.72</v>
      </c>
      <c r="S75" s="41">
        <v>17435.96</v>
      </c>
    </row>
    <row r="76" spans="1:19" s="19" customFormat="1" ht="15">
      <c r="A76" s="140"/>
      <c r="B76" s="141" t="s">
        <v>400</v>
      </c>
      <c r="C76" s="140"/>
      <c r="D76" s="18"/>
      <c r="E76" s="51"/>
      <c r="F76" s="51"/>
      <c r="G76" s="51"/>
      <c r="H76" s="51"/>
      <c r="I76" s="51"/>
      <c r="J76" s="51"/>
      <c r="K76" s="51"/>
      <c r="L76" s="51"/>
      <c r="M76" s="51"/>
      <c r="N76" s="51"/>
      <c r="O76" s="51"/>
      <c r="P76" s="51"/>
      <c r="Q76" s="51"/>
      <c r="R76" s="51"/>
      <c r="S76" s="51"/>
    </row>
    <row r="77" spans="1:19" s="19" customFormat="1" ht="15">
      <c r="A77" s="138">
        <v>7783270120</v>
      </c>
      <c r="B77" s="138" t="s">
        <v>23</v>
      </c>
      <c r="C77" s="138" t="s">
        <v>43</v>
      </c>
      <c r="D77" s="18"/>
      <c r="E77" s="59">
        <v>18780</v>
      </c>
      <c r="F77" s="60">
        <v>6260</v>
      </c>
      <c r="G77" s="60">
        <v>6260</v>
      </c>
      <c r="H77" s="59">
        <v>18780</v>
      </c>
      <c r="I77" s="60">
        <v>3987</v>
      </c>
      <c r="J77" s="60">
        <v>3987</v>
      </c>
      <c r="K77" s="59">
        <v>19935</v>
      </c>
      <c r="L77" s="60">
        <v>2590</v>
      </c>
      <c r="M77" s="60">
        <v>2590</v>
      </c>
      <c r="N77" s="59">
        <v>23310</v>
      </c>
      <c r="O77" s="134">
        <v>13691</v>
      </c>
      <c r="P77" s="134">
        <v>14238.640000000001</v>
      </c>
      <c r="Q77" s="134">
        <v>14786.28</v>
      </c>
      <c r="R77" s="134">
        <v>15333.920000000002</v>
      </c>
      <c r="S77" s="134">
        <v>15881.56</v>
      </c>
    </row>
    <row r="78" spans="1:19" s="19" customFormat="1" ht="15">
      <c r="A78" s="138">
        <v>7768870116</v>
      </c>
      <c r="B78" s="138" t="s">
        <v>15</v>
      </c>
      <c r="C78" s="138" t="s">
        <v>72</v>
      </c>
      <c r="D78" s="18"/>
      <c r="E78" s="59">
        <v>10500</v>
      </c>
      <c r="F78" s="60">
        <v>3500</v>
      </c>
      <c r="G78" s="60">
        <v>3500</v>
      </c>
      <c r="H78" s="59">
        <v>10500</v>
      </c>
      <c r="I78" s="60">
        <v>2248</v>
      </c>
      <c r="J78" s="60">
        <v>2248</v>
      </c>
      <c r="K78" s="59">
        <v>11240</v>
      </c>
      <c r="L78" s="60">
        <v>1474</v>
      </c>
      <c r="M78" s="60">
        <v>1474</v>
      </c>
      <c r="N78" s="59">
        <v>13266</v>
      </c>
      <c r="O78" s="134">
        <v>8095</v>
      </c>
      <c r="P78" s="134">
        <v>8418.8000000000011</v>
      </c>
      <c r="Q78" s="134">
        <v>8742.6</v>
      </c>
      <c r="R78" s="134">
        <v>9066.4000000000015</v>
      </c>
      <c r="S78" s="134">
        <v>9390.1999999999989</v>
      </c>
    </row>
    <row r="79" spans="1:19" s="19" customFormat="1" ht="15">
      <c r="A79" s="138">
        <v>7768870119</v>
      </c>
      <c r="B79" s="138" t="s">
        <v>368</v>
      </c>
      <c r="C79" s="138" t="s">
        <v>72</v>
      </c>
      <c r="E79" s="59">
        <v>7360</v>
      </c>
      <c r="F79" s="60">
        <v>2454</v>
      </c>
      <c r="G79" s="60">
        <v>2453</v>
      </c>
      <c r="H79" s="59">
        <v>7360</v>
      </c>
      <c r="I79" s="60">
        <v>1572</v>
      </c>
      <c r="J79" s="60">
        <v>1572</v>
      </c>
      <c r="K79" s="59">
        <v>7860</v>
      </c>
      <c r="L79" s="60">
        <v>1030</v>
      </c>
      <c r="M79" s="60">
        <v>1030</v>
      </c>
      <c r="N79" s="59">
        <v>9270</v>
      </c>
      <c r="O79" s="134">
        <v>5660</v>
      </c>
      <c r="P79" s="134">
        <v>5886.4000000000005</v>
      </c>
      <c r="Q79" s="134">
        <v>6112.8</v>
      </c>
      <c r="R79" s="134">
        <v>6339.2000000000007</v>
      </c>
      <c r="S79" s="134">
        <v>6565.5999999999995</v>
      </c>
    </row>
    <row r="80" spans="1:19" s="19" customFormat="1" ht="15">
      <c r="A80" s="138">
        <v>7784570113</v>
      </c>
      <c r="B80" s="138" t="s">
        <v>17</v>
      </c>
      <c r="C80" s="138" t="s">
        <v>73</v>
      </c>
      <c r="D80" s="135"/>
      <c r="E80" s="59">
        <v>9840</v>
      </c>
      <c r="F80" s="60">
        <v>3280</v>
      </c>
      <c r="G80" s="60">
        <v>3280</v>
      </c>
      <c r="H80" s="59">
        <v>9840</v>
      </c>
      <c r="I80" s="60">
        <v>2112</v>
      </c>
      <c r="J80" s="60">
        <v>2112</v>
      </c>
      <c r="K80" s="59">
        <v>10560</v>
      </c>
      <c r="L80" s="60">
        <v>1384</v>
      </c>
      <c r="M80" s="60">
        <v>1384</v>
      </c>
      <c r="N80" s="59">
        <v>12456</v>
      </c>
      <c r="O80" s="134">
        <v>7604</v>
      </c>
      <c r="P80" s="41">
        <v>7908.16</v>
      </c>
      <c r="Q80" s="41">
        <v>8212.32</v>
      </c>
      <c r="R80" s="41">
        <v>8516.4800000000014</v>
      </c>
      <c r="S80" s="41">
        <v>8820.64</v>
      </c>
    </row>
    <row r="81" spans="1:19" s="19" customFormat="1" ht="15">
      <c r="A81" s="138">
        <v>7784670112</v>
      </c>
      <c r="B81" s="138" t="s">
        <v>16</v>
      </c>
      <c r="C81" s="138" t="s">
        <v>74</v>
      </c>
      <c r="D81" s="18"/>
      <c r="E81" s="59">
        <v>9840</v>
      </c>
      <c r="F81" s="60">
        <v>3280</v>
      </c>
      <c r="G81" s="60">
        <v>3280</v>
      </c>
      <c r="H81" s="59">
        <v>9840</v>
      </c>
      <c r="I81" s="60">
        <v>2112</v>
      </c>
      <c r="J81" s="60">
        <v>2112</v>
      </c>
      <c r="K81" s="59">
        <v>10560</v>
      </c>
      <c r="L81" s="60">
        <v>1384</v>
      </c>
      <c r="M81" s="60">
        <v>1384</v>
      </c>
      <c r="N81" s="59">
        <v>12456</v>
      </c>
      <c r="O81" s="134">
        <v>7604</v>
      </c>
      <c r="P81" s="134">
        <v>7908.16</v>
      </c>
      <c r="Q81" s="134">
        <v>8212.32</v>
      </c>
      <c r="R81" s="134">
        <v>8516.4800000000014</v>
      </c>
      <c r="S81" s="134">
        <v>8820.64</v>
      </c>
    </row>
    <row r="82" spans="1:19" s="19" customFormat="1" ht="15">
      <c r="A82" s="140"/>
      <c r="B82" s="141" t="s">
        <v>401</v>
      </c>
      <c r="C82" s="140"/>
      <c r="D82" s="18"/>
      <c r="E82" s="51"/>
      <c r="F82" s="51"/>
      <c r="G82" s="51"/>
      <c r="H82" s="51"/>
      <c r="I82" s="51"/>
      <c r="J82" s="51"/>
      <c r="K82" s="51"/>
      <c r="L82" s="51"/>
      <c r="M82" s="51"/>
      <c r="N82" s="51"/>
      <c r="O82" s="51"/>
      <c r="P82" s="51"/>
      <c r="Q82" s="51"/>
      <c r="R82" s="51"/>
      <c r="S82" s="51"/>
    </row>
    <row r="83" spans="1:19" s="19" customFormat="1" ht="15">
      <c r="A83" s="138">
        <v>7763580126</v>
      </c>
      <c r="B83" s="138" t="s">
        <v>58</v>
      </c>
      <c r="C83" s="138" t="s">
        <v>60</v>
      </c>
      <c r="D83" s="18"/>
      <c r="E83" s="59">
        <v>11340</v>
      </c>
      <c r="F83" s="60">
        <v>3780</v>
      </c>
      <c r="G83" s="60">
        <v>3780</v>
      </c>
      <c r="H83" s="59">
        <v>11340</v>
      </c>
      <c r="I83" s="60">
        <v>2430</v>
      </c>
      <c r="J83" s="60">
        <v>2430</v>
      </c>
      <c r="K83" s="59">
        <v>12150</v>
      </c>
      <c r="L83" s="60">
        <v>1593</v>
      </c>
      <c r="M83" s="60">
        <v>1593</v>
      </c>
      <c r="N83" s="59">
        <v>14337</v>
      </c>
      <c r="O83" s="134">
        <v>8748</v>
      </c>
      <c r="P83" s="134">
        <v>9097.92</v>
      </c>
      <c r="Q83" s="134">
        <v>9447.84</v>
      </c>
      <c r="R83" s="134">
        <v>9797.76</v>
      </c>
      <c r="S83" s="134">
        <v>10147.679999999998</v>
      </c>
    </row>
    <row r="84" spans="1:19" s="19" customFormat="1" ht="12.6" customHeight="1">
      <c r="A84" s="138">
        <v>7763680124</v>
      </c>
      <c r="B84" s="138" t="s">
        <v>61</v>
      </c>
      <c r="C84" s="138" t="s">
        <v>62</v>
      </c>
      <c r="D84" s="18"/>
      <c r="E84" s="59">
        <v>11340</v>
      </c>
      <c r="F84" s="60">
        <v>3780</v>
      </c>
      <c r="G84" s="60">
        <v>3780</v>
      </c>
      <c r="H84" s="59">
        <v>11340</v>
      </c>
      <c r="I84" s="60">
        <v>2430</v>
      </c>
      <c r="J84" s="60">
        <v>2430</v>
      </c>
      <c r="K84" s="59">
        <v>12150</v>
      </c>
      <c r="L84" s="60">
        <v>1593</v>
      </c>
      <c r="M84" s="60">
        <v>1593</v>
      </c>
      <c r="N84" s="59">
        <v>14337</v>
      </c>
      <c r="O84" s="134">
        <v>8748</v>
      </c>
      <c r="P84" s="134">
        <v>9097.92</v>
      </c>
      <c r="Q84" s="134">
        <v>9447.84</v>
      </c>
      <c r="R84" s="134">
        <v>9797.76</v>
      </c>
      <c r="S84" s="134">
        <v>10147.679999999998</v>
      </c>
    </row>
    <row r="85" spans="1:19" s="19" customFormat="1" ht="12.6" customHeight="1">
      <c r="A85" s="138">
        <v>7763580115</v>
      </c>
      <c r="B85" s="138" t="s">
        <v>78</v>
      </c>
      <c r="C85" s="138" t="s">
        <v>79</v>
      </c>
      <c r="D85" s="136"/>
      <c r="E85" s="59">
        <v>11340</v>
      </c>
      <c r="F85" s="60">
        <v>3780</v>
      </c>
      <c r="G85" s="60">
        <v>3780</v>
      </c>
      <c r="H85" s="59">
        <v>11340</v>
      </c>
      <c r="I85" s="60">
        <v>2430</v>
      </c>
      <c r="J85" s="60">
        <v>2430</v>
      </c>
      <c r="K85" s="59">
        <v>12150</v>
      </c>
      <c r="L85" s="60">
        <v>1593</v>
      </c>
      <c r="M85" s="60">
        <v>1593</v>
      </c>
      <c r="N85" s="59">
        <v>14337</v>
      </c>
      <c r="O85" s="134">
        <v>8748</v>
      </c>
      <c r="P85" s="134">
        <v>9097.92</v>
      </c>
      <c r="Q85" s="134">
        <v>9447.84</v>
      </c>
      <c r="R85" s="134">
        <v>9797.76</v>
      </c>
      <c r="S85" s="134">
        <v>10147.679999999998</v>
      </c>
    </row>
    <row r="86" spans="1:19" s="19" customFormat="1" ht="12.6" customHeight="1">
      <c r="A86" s="138">
        <v>7763680125</v>
      </c>
      <c r="B86" s="138" t="s">
        <v>75</v>
      </c>
      <c r="C86" s="138" t="s">
        <v>76</v>
      </c>
      <c r="D86" s="137"/>
      <c r="E86" s="59">
        <v>11340</v>
      </c>
      <c r="F86" s="60">
        <v>3780</v>
      </c>
      <c r="G86" s="60">
        <v>3780</v>
      </c>
      <c r="H86" s="59">
        <v>11340</v>
      </c>
      <c r="I86" s="60">
        <v>2430</v>
      </c>
      <c r="J86" s="60">
        <v>2430</v>
      </c>
      <c r="K86" s="59">
        <v>12150</v>
      </c>
      <c r="L86" s="60">
        <v>1593</v>
      </c>
      <c r="M86" s="60">
        <v>1593</v>
      </c>
      <c r="N86" s="59">
        <v>14337</v>
      </c>
      <c r="O86" s="134">
        <v>8748</v>
      </c>
      <c r="P86" s="134">
        <v>9097.92</v>
      </c>
      <c r="Q86" s="134">
        <v>9447.84</v>
      </c>
      <c r="R86" s="134">
        <v>9797.76</v>
      </c>
      <c r="S86" s="134">
        <v>10147.679999999998</v>
      </c>
    </row>
    <row r="87" spans="1:19" s="19" customFormat="1" ht="12.6" customHeight="1">
      <c r="A87" s="138">
        <v>7763580121</v>
      </c>
      <c r="B87" s="138" t="s">
        <v>365</v>
      </c>
      <c r="C87" s="138" t="s">
        <v>79</v>
      </c>
      <c r="E87" s="59">
        <v>7360</v>
      </c>
      <c r="F87" s="60">
        <v>2454</v>
      </c>
      <c r="G87" s="60">
        <v>2453</v>
      </c>
      <c r="H87" s="59">
        <v>7360</v>
      </c>
      <c r="I87" s="60">
        <v>1572</v>
      </c>
      <c r="J87" s="60">
        <v>1572</v>
      </c>
      <c r="K87" s="59">
        <v>7860</v>
      </c>
      <c r="L87" s="60">
        <v>1030</v>
      </c>
      <c r="M87" s="60">
        <v>1030</v>
      </c>
      <c r="N87" s="59">
        <v>9270</v>
      </c>
      <c r="O87" s="134">
        <v>5660</v>
      </c>
      <c r="P87" s="134">
        <v>5886.4000000000005</v>
      </c>
      <c r="Q87" s="134">
        <v>6112.8</v>
      </c>
      <c r="R87" s="134">
        <v>6339.2000000000007</v>
      </c>
      <c r="S87" s="134">
        <v>6565.5999999999995</v>
      </c>
    </row>
    <row r="88" spans="1:19" s="19" customFormat="1" ht="12.6" customHeight="1">
      <c r="A88" s="138">
        <v>7763580130</v>
      </c>
      <c r="B88" s="138" t="s">
        <v>377</v>
      </c>
      <c r="C88" s="138" t="s">
        <v>60</v>
      </c>
      <c r="D88" s="135"/>
      <c r="E88" s="59">
        <v>7360</v>
      </c>
      <c r="F88" s="60">
        <v>2454</v>
      </c>
      <c r="G88" s="60">
        <v>2453</v>
      </c>
      <c r="H88" s="59">
        <v>7360</v>
      </c>
      <c r="I88" s="60">
        <v>1572</v>
      </c>
      <c r="J88" s="60">
        <v>1572</v>
      </c>
      <c r="K88" s="59">
        <v>7860</v>
      </c>
      <c r="L88" s="60">
        <v>1030</v>
      </c>
      <c r="M88" s="60">
        <v>1030</v>
      </c>
      <c r="N88" s="59">
        <v>9270</v>
      </c>
      <c r="O88" s="134">
        <v>5660</v>
      </c>
      <c r="P88" s="41">
        <v>5886.4000000000005</v>
      </c>
      <c r="Q88" s="41">
        <v>6112.8</v>
      </c>
      <c r="R88" s="41">
        <v>6339.2000000000007</v>
      </c>
      <c r="S88" s="41">
        <v>6565.5999999999995</v>
      </c>
    </row>
    <row r="89" spans="1:19" s="19" customFormat="1" ht="15">
      <c r="A89" s="138">
        <v>7763570201</v>
      </c>
      <c r="B89" s="138" t="s">
        <v>22</v>
      </c>
      <c r="C89" s="138" t="s">
        <v>42</v>
      </c>
      <c r="D89" s="18"/>
      <c r="E89" s="59">
        <v>25200</v>
      </c>
      <c r="F89" s="60">
        <v>8400</v>
      </c>
      <c r="G89" s="60">
        <v>8400</v>
      </c>
      <c r="H89" s="59">
        <v>25200</v>
      </c>
      <c r="I89" s="60">
        <v>5351</v>
      </c>
      <c r="J89" s="60">
        <v>5351</v>
      </c>
      <c r="K89" s="59">
        <v>26755</v>
      </c>
      <c r="L89" s="60">
        <v>3476</v>
      </c>
      <c r="M89" s="60">
        <v>3476</v>
      </c>
      <c r="N89" s="59">
        <v>31284</v>
      </c>
      <c r="O89" s="134">
        <v>18374</v>
      </c>
      <c r="P89" s="134">
        <v>19108.96</v>
      </c>
      <c r="Q89" s="134">
        <v>19843.920000000002</v>
      </c>
      <c r="R89" s="134">
        <v>20578.88</v>
      </c>
      <c r="S89" s="134">
        <v>21313.84</v>
      </c>
    </row>
    <row r="90" spans="1:19" s="19" customFormat="1" ht="15">
      <c r="A90" s="138">
        <v>8770661100</v>
      </c>
      <c r="B90" s="138" t="s">
        <v>148</v>
      </c>
      <c r="C90" s="138" t="s">
        <v>149</v>
      </c>
      <c r="D90" s="135"/>
      <c r="E90" s="59">
        <v>22530</v>
      </c>
      <c r="F90" s="60">
        <v>7510</v>
      </c>
      <c r="G90" s="60">
        <v>7510</v>
      </c>
      <c r="H90" s="59">
        <v>22530</v>
      </c>
      <c r="I90" s="60">
        <v>4784</v>
      </c>
      <c r="J90" s="60">
        <v>4784</v>
      </c>
      <c r="K90" s="59">
        <v>23920</v>
      </c>
      <c r="L90" s="60">
        <v>3108</v>
      </c>
      <c r="M90" s="60">
        <v>3108</v>
      </c>
      <c r="N90" s="59">
        <v>27972</v>
      </c>
      <c r="O90" s="134">
        <v>16430</v>
      </c>
      <c r="P90" s="134">
        <v>17087.2</v>
      </c>
      <c r="Q90" s="134">
        <v>17744.400000000001</v>
      </c>
      <c r="R90" s="134">
        <v>18401.600000000002</v>
      </c>
      <c r="S90" s="134">
        <v>19058.8</v>
      </c>
    </row>
    <row r="91" spans="1:19" s="19" customFormat="1" ht="15">
      <c r="A91" s="138">
        <v>8770811100</v>
      </c>
      <c r="B91" s="138" t="s">
        <v>161</v>
      </c>
      <c r="C91" s="138" t="s">
        <v>162</v>
      </c>
      <c r="D91" s="135"/>
      <c r="E91" s="59">
        <v>22530</v>
      </c>
      <c r="F91" s="60">
        <v>7510</v>
      </c>
      <c r="G91" s="60">
        <v>7510</v>
      </c>
      <c r="H91" s="59">
        <v>22530</v>
      </c>
      <c r="I91" s="60">
        <v>4784</v>
      </c>
      <c r="J91" s="60">
        <v>4784</v>
      </c>
      <c r="K91" s="59">
        <v>23920</v>
      </c>
      <c r="L91" s="60">
        <v>3108</v>
      </c>
      <c r="M91" s="60">
        <v>3108</v>
      </c>
      <c r="N91" s="59">
        <v>27972</v>
      </c>
      <c r="O91" s="134">
        <v>16430</v>
      </c>
      <c r="P91" s="134">
        <v>17087.2</v>
      </c>
      <c r="Q91" s="134">
        <v>17744.400000000001</v>
      </c>
      <c r="R91" s="134">
        <v>18401.600000000002</v>
      </c>
      <c r="S91" s="134">
        <v>19058.8</v>
      </c>
    </row>
    <row r="92" spans="1:19" s="19" customFormat="1" ht="15">
      <c r="A92" s="140"/>
      <c r="B92" s="141" t="s">
        <v>402</v>
      </c>
      <c r="C92" s="140"/>
      <c r="D92" s="135"/>
      <c r="E92" s="51"/>
      <c r="F92" s="51"/>
      <c r="G92" s="51"/>
      <c r="H92" s="51"/>
      <c r="I92" s="51"/>
      <c r="J92" s="51"/>
      <c r="K92" s="51"/>
      <c r="L92" s="51"/>
      <c r="M92" s="51"/>
      <c r="N92" s="51"/>
      <c r="O92" s="51"/>
      <c r="P92" s="51"/>
      <c r="Q92" s="51"/>
      <c r="R92" s="51"/>
      <c r="S92" s="51"/>
    </row>
    <row r="93" spans="1:19" s="19" customFormat="1" ht="15">
      <c r="A93" s="138">
        <v>7724070105</v>
      </c>
      <c r="B93" s="138" t="s">
        <v>52</v>
      </c>
      <c r="C93" s="138" t="s">
        <v>36</v>
      </c>
      <c r="D93" s="135"/>
      <c r="E93" s="59">
        <v>20070</v>
      </c>
      <c r="F93" s="60">
        <v>6690</v>
      </c>
      <c r="G93" s="60">
        <v>6690</v>
      </c>
      <c r="H93" s="59">
        <v>20070</v>
      </c>
      <c r="I93" s="60">
        <v>4258</v>
      </c>
      <c r="J93" s="60">
        <v>4258</v>
      </c>
      <c r="K93" s="59">
        <v>21290</v>
      </c>
      <c r="L93" s="60">
        <v>2766</v>
      </c>
      <c r="M93" s="60">
        <v>2766</v>
      </c>
      <c r="N93" s="59">
        <v>24894</v>
      </c>
      <c r="O93" s="134">
        <v>14622</v>
      </c>
      <c r="P93" s="134">
        <v>15206.880000000001</v>
      </c>
      <c r="Q93" s="134">
        <v>15791.76</v>
      </c>
      <c r="R93" s="134">
        <v>16376.640000000001</v>
      </c>
      <c r="S93" s="134">
        <v>16961.52</v>
      </c>
    </row>
    <row r="94" spans="1:19" s="19" customFormat="1" ht="15">
      <c r="A94" s="138">
        <v>7725570104</v>
      </c>
      <c r="B94" s="138" t="s">
        <v>53</v>
      </c>
      <c r="C94" s="138" t="s">
        <v>37</v>
      </c>
      <c r="D94" s="135"/>
      <c r="E94" s="59">
        <v>12570</v>
      </c>
      <c r="F94" s="60">
        <v>4190</v>
      </c>
      <c r="G94" s="60">
        <v>4190</v>
      </c>
      <c r="H94" s="59">
        <v>12570</v>
      </c>
      <c r="I94" s="60">
        <v>2667</v>
      </c>
      <c r="J94" s="60">
        <v>2667</v>
      </c>
      <c r="K94" s="59">
        <v>13335</v>
      </c>
      <c r="L94" s="60">
        <v>1732</v>
      </c>
      <c r="M94" s="60">
        <v>1732</v>
      </c>
      <c r="N94" s="59">
        <v>15588</v>
      </c>
      <c r="O94" s="134">
        <v>9158</v>
      </c>
      <c r="P94" s="134">
        <v>9524.32</v>
      </c>
      <c r="Q94" s="134">
        <v>9890.6400000000012</v>
      </c>
      <c r="R94" s="134">
        <v>10256.960000000001</v>
      </c>
      <c r="S94" s="134">
        <v>10623.279999999999</v>
      </c>
    </row>
    <row r="95" spans="1:19" ht="15">
      <c r="A95" s="37"/>
      <c r="B95" s="23"/>
      <c r="C95" s="23"/>
      <c r="D95" s="23"/>
      <c r="E95" s="14"/>
      <c r="F95" s="52"/>
      <c r="G95" s="52"/>
      <c r="H95" s="52"/>
      <c r="I95" s="52"/>
      <c r="J95" s="52"/>
      <c r="K95" s="52"/>
      <c r="L95" s="52"/>
      <c r="M95" s="52"/>
      <c r="N95" s="52"/>
      <c r="O95" s="38"/>
    </row>
    <row r="96" spans="1:19" ht="12.6" customHeight="1">
      <c r="A96" s="29"/>
      <c r="B96" s="30" t="s">
        <v>24</v>
      </c>
      <c r="C96" s="29"/>
      <c r="D96" s="31"/>
      <c r="E96" s="32"/>
      <c r="F96" s="53"/>
      <c r="G96" s="53"/>
      <c r="H96" s="53"/>
      <c r="I96" s="53"/>
      <c r="J96" s="53"/>
      <c r="K96" s="53"/>
      <c r="L96" s="53"/>
      <c r="M96" s="53"/>
      <c r="N96" s="53"/>
      <c r="O96" s="54"/>
    </row>
    <row r="97" spans="1:19" ht="12.75">
      <c r="A97" s="8">
        <v>7704330114</v>
      </c>
      <c r="B97" s="6" t="s">
        <v>306</v>
      </c>
      <c r="C97" s="6" t="s">
        <v>144</v>
      </c>
      <c r="D97" s="7" t="s">
        <v>89</v>
      </c>
      <c r="E97" s="59">
        <v>14940</v>
      </c>
      <c r="F97" s="60">
        <v>4980</v>
      </c>
      <c r="G97" s="60">
        <v>4980</v>
      </c>
      <c r="H97" s="59">
        <v>14940</v>
      </c>
      <c r="I97" s="60">
        <v>3162</v>
      </c>
      <c r="J97" s="60">
        <v>3162</v>
      </c>
      <c r="K97" s="59">
        <v>15810</v>
      </c>
      <c r="L97" s="60">
        <v>2031</v>
      </c>
      <c r="M97" s="60">
        <v>2031</v>
      </c>
      <c r="N97" s="59">
        <v>18279</v>
      </c>
      <c r="O97" s="62">
        <v>10671.6</v>
      </c>
      <c r="P97" s="62">
        <v>11098.464</v>
      </c>
      <c r="Q97" s="62">
        <v>11525.328000000001</v>
      </c>
      <c r="R97" s="62">
        <v>11952.192000000001</v>
      </c>
      <c r="S97" s="62">
        <v>12379.055999999999</v>
      </c>
    </row>
    <row r="98" spans="1:19" ht="12.75">
      <c r="A98" s="8">
        <v>7704330113</v>
      </c>
      <c r="B98" s="6" t="s">
        <v>307</v>
      </c>
      <c r="C98" s="6" t="s">
        <v>145</v>
      </c>
      <c r="D98" s="7" t="s">
        <v>89</v>
      </c>
      <c r="E98" s="59">
        <v>14940</v>
      </c>
      <c r="F98" s="60">
        <v>4980</v>
      </c>
      <c r="G98" s="60">
        <v>4980</v>
      </c>
      <c r="H98" s="59">
        <v>14940</v>
      </c>
      <c r="I98" s="60">
        <v>3162</v>
      </c>
      <c r="J98" s="60">
        <v>3162</v>
      </c>
      <c r="K98" s="59">
        <v>15810</v>
      </c>
      <c r="L98" s="60">
        <v>2031</v>
      </c>
      <c r="M98" s="60">
        <v>2031</v>
      </c>
      <c r="N98" s="59">
        <v>18279</v>
      </c>
      <c r="O98" s="62">
        <v>10671.6</v>
      </c>
      <c r="P98" s="62">
        <v>11098.464</v>
      </c>
      <c r="Q98" s="62">
        <v>11525.328000000001</v>
      </c>
      <c r="R98" s="62">
        <v>11952.192000000001</v>
      </c>
      <c r="S98" s="62">
        <v>12379.055999999999</v>
      </c>
    </row>
    <row r="99" spans="1:19" ht="12.75">
      <c r="A99" s="8">
        <v>7704330115</v>
      </c>
      <c r="B99" s="6" t="s">
        <v>308</v>
      </c>
      <c r="C99" s="6" t="s">
        <v>146</v>
      </c>
      <c r="D99" s="7" t="s">
        <v>89</v>
      </c>
      <c r="E99" s="59">
        <v>14940</v>
      </c>
      <c r="F99" s="60">
        <v>4980</v>
      </c>
      <c r="G99" s="60">
        <v>4980</v>
      </c>
      <c r="H99" s="59">
        <v>14940</v>
      </c>
      <c r="I99" s="60">
        <v>3162</v>
      </c>
      <c r="J99" s="60">
        <v>3162</v>
      </c>
      <c r="K99" s="59">
        <v>15810</v>
      </c>
      <c r="L99" s="60">
        <v>2031</v>
      </c>
      <c r="M99" s="60">
        <v>2031</v>
      </c>
      <c r="N99" s="59">
        <v>18279</v>
      </c>
      <c r="O99" s="62">
        <v>10671.6</v>
      </c>
      <c r="P99" s="62">
        <v>11098.464</v>
      </c>
      <c r="Q99" s="62">
        <v>11525.328000000001</v>
      </c>
      <c r="R99" s="62">
        <v>11952.192000000001</v>
      </c>
      <c r="S99" s="62">
        <v>12379.055999999999</v>
      </c>
    </row>
    <row r="100" spans="1:19" ht="12.75">
      <c r="A100" s="8">
        <v>7704330103</v>
      </c>
      <c r="B100" s="6" t="s">
        <v>113</v>
      </c>
      <c r="C100" s="6" t="s">
        <v>114</v>
      </c>
      <c r="D100" s="7" t="s">
        <v>110</v>
      </c>
      <c r="E100" s="59">
        <v>34860</v>
      </c>
      <c r="F100" s="60">
        <v>11620</v>
      </c>
      <c r="G100" s="60">
        <v>11620</v>
      </c>
      <c r="H100" s="59">
        <v>34860</v>
      </c>
      <c r="I100" s="60">
        <v>7381</v>
      </c>
      <c r="J100" s="60">
        <v>7381</v>
      </c>
      <c r="K100" s="59">
        <v>36905</v>
      </c>
      <c r="L100" s="60">
        <v>4742</v>
      </c>
      <c r="M100" s="60">
        <v>4742</v>
      </c>
      <c r="N100" s="59">
        <v>42678</v>
      </c>
      <c r="O100" s="62">
        <v>24913.200000000001</v>
      </c>
      <c r="P100" s="62">
        <v>25909.728000000003</v>
      </c>
      <c r="Q100" s="62">
        <v>26906.256000000001</v>
      </c>
      <c r="R100" s="62">
        <v>27902.784000000003</v>
      </c>
      <c r="S100" s="62">
        <v>28899.311999999998</v>
      </c>
    </row>
    <row r="101" spans="1:19" ht="12.75">
      <c r="A101" s="8">
        <v>7704331217</v>
      </c>
      <c r="B101" s="6" t="s">
        <v>108</v>
      </c>
      <c r="C101" s="6" t="s">
        <v>109</v>
      </c>
      <c r="D101" s="7" t="s">
        <v>110</v>
      </c>
      <c r="E101" s="59">
        <v>34860</v>
      </c>
      <c r="F101" s="60">
        <v>11620</v>
      </c>
      <c r="G101" s="60">
        <v>11620</v>
      </c>
      <c r="H101" s="59">
        <v>34860</v>
      </c>
      <c r="I101" s="60">
        <v>7381</v>
      </c>
      <c r="J101" s="60">
        <v>7381</v>
      </c>
      <c r="K101" s="59">
        <v>36905</v>
      </c>
      <c r="L101" s="60">
        <v>4742</v>
      </c>
      <c r="M101" s="60">
        <v>4742</v>
      </c>
      <c r="N101" s="59">
        <v>42678</v>
      </c>
      <c r="O101" s="62">
        <v>24913.200000000001</v>
      </c>
      <c r="P101" s="62">
        <v>25909.728000000003</v>
      </c>
      <c r="Q101" s="62">
        <v>26906.256000000001</v>
      </c>
      <c r="R101" s="62">
        <v>27902.784000000003</v>
      </c>
      <c r="S101" s="62">
        <v>28899.311999999998</v>
      </c>
    </row>
    <row r="102" spans="1:19" ht="12.75">
      <c r="A102" s="8">
        <v>7704330102</v>
      </c>
      <c r="B102" s="6" t="s">
        <v>111</v>
      </c>
      <c r="C102" s="6" t="s">
        <v>112</v>
      </c>
      <c r="D102" s="7" t="s">
        <v>110</v>
      </c>
      <c r="E102" s="59">
        <v>34860</v>
      </c>
      <c r="F102" s="60">
        <v>11620</v>
      </c>
      <c r="G102" s="60">
        <v>11620</v>
      </c>
      <c r="H102" s="59">
        <v>34860</v>
      </c>
      <c r="I102" s="60">
        <v>7381</v>
      </c>
      <c r="J102" s="60">
        <v>7381</v>
      </c>
      <c r="K102" s="59">
        <v>36905</v>
      </c>
      <c r="L102" s="60">
        <v>4742</v>
      </c>
      <c r="M102" s="60">
        <v>4742</v>
      </c>
      <c r="N102" s="59">
        <v>42678</v>
      </c>
      <c r="O102" s="62">
        <v>24913.200000000001</v>
      </c>
      <c r="P102" s="62">
        <v>25909.728000000003</v>
      </c>
      <c r="Q102" s="62">
        <v>26906.256000000001</v>
      </c>
      <c r="R102" s="62">
        <v>27902.784000000003</v>
      </c>
      <c r="S102" s="62">
        <v>28899.311999999998</v>
      </c>
    </row>
    <row r="103" spans="1:19" ht="12.75">
      <c r="A103" s="58">
        <v>7704330122</v>
      </c>
      <c r="B103" s="6" t="s">
        <v>289</v>
      </c>
      <c r="C103" s="6" t="s">
        <v>81</v>
      </c>
      <c r="D103" s="7" t="s">
        <v>7</v>
      </c>
      <c r="E103" s="59">
        <v>12990.48192</v>
      </c>
      <c r="F103" s="60">
        <v>4330.4819200000002</v>
      </c>
      <c r="G103" s="60">
        <v>4330</v>
      </c>
      <c r="H103" s="59">
        <v>12990.48192</v>
      </c>
      <c r="I103" s="60">
        <v>2783</v>
      </c>
      <c r="J103" s="60">
        <v>2783</v>
      </c>
      <c r="K103" s="59">
        <v>13915</v>
      </c>
      <c r="L103" s="60">
        <v>1709</v>
      </c>
      <c r="M103" s="60">
        <v>1709</v>
      </c>
      <c r="N103" s="59">
        <v>15381</v>
      </c>
      <c r="O103" s="62">
        <v>9859.1999999999989</v>
      </c>
      <c r="P103" s="62">
        <v>10253.567999999999</v>
      </c>
      <c r="Q103" s="62">
        <v>10647.936</v>
      </c>
      <c r="R103" s="62">
        <v>11042.304</v>
      </c>
      <c r="S103" s="62">
        <v>11436.671999999999</v>
      </c>
    </row>
    <row r="104" spans="1:19" ht="12.75">
      <c r="A104" s="58">
        <v>7704330123</v>
      </c>
      <c r="B104" s="6" t="s">
        <v>290</v>
      </c>
      <c r="C104" s="6" t="s">
        <v>82</v>
      </c>
      <c r="D104" s="7" t="s">
        <v>7</v>
      </c>
      <c r="E104" s="59">
        <v>12990.48192</v>
      </c>
      <c r="F104" s="60">
        <v>4330.4819200000002</v>
      </c>
      <c r="G104" s="60">
        <v>4330</v>
      </c>
      <c r="H104" s="59">
        <v>12990.48192</v>
      </c>
      <c r="I104" s="60">
        <v>2783</v>
      </c>
      <c r="J104" s="60">
        <v>2783</v>
      </c>
      <c r="K104" s="59">
        <v>13915</v>
      </c>
      <c r="L104" s="60">
        <v>1709</v>
      </c>
      <c r="M104" s="60">
        <v>1709</v>
      </c>
      <c r="N104" s="59">
        <v>15381</v>
      </c>
      <c r="O104" s="62">
        <v>9859.1999999999989</v>
      </c>
      <c r="P104" s="62">
        <v>10253.567999999999</v>
      </c>
      <c r="Q104" s="62">
        <v>10647.936</v>
      </c>
      <c r="R104" s="62">
        <v>11042.304</v>
      </c>
      <c r="S104" s="62">
        <v>11436.671999999999</v>
      </c>
    </row>
    <row r="105" spans="1:19" ht="12.75">
      <c r="A105" s="8">
        <v>7704331103</v>
      </c>
      <c r="B105" s="6" t="s">
        <v>302</v>
      </c>
      <c r="C105" s="6" t="s">
        <v>81</v>
      </c>
      <c r="D105" s="7" t="s">
        <v>7</v>
      </c>
      <c r="E105" s="59">
        <v>16350</v>
      </c>
      <c r="F105" s="60">
        <v>5450</v>
      </c>
      <c r="G105" s="60">
        <v>5450</v>
      </c>
      <c r="H105" s="59">
        <v>16350</v>
      </c>
      <c r="I105" s="60">
        <v>3461</v>
      </c>
      <c r="J105" s="60">
        <v>3461</v>
      </c>
      <c r="K105" s="59">
        <v>17305</v>
      </c>
      <c r="L105" s="60">
        <v>2223</v>
      </c>
      <c r="M105" s="60">
        <v>2223</v>
      </c>
      <c r="N105" s="59">
        <v>20007</v>
      </c>
      <c r="O105" s="62">
        <v>11682</v>
      </c>
      <c r="P105" s="62">
        <v>12149.28</v>
      </c>
      <c r="Q105" s="62">
        <v>12616.560000000001</v>
      </c>
      <c r="R105" s="62">
        <v>13083.840000000002</v>
      </c>
      <c r="S105" s="62">
        <v>13551.119999999999</v>
      </c>
    </row>
    <row r="106" spans="1:19" ht="12.75">
      <c r="A106" s="8">
        <v>7704331104</v>
      </c>
      <c r="B106" s="6" t="s">
        <v>303</v>
      </c>
      <c r="C106" s="6" t="s">
        <v>82</v>
      </c>
      <c r="D106" s="7" t="s">
        <v>7</v>
      </c>
      <c r="E106" s="59">
        <v>16350</v>
      </c>
      <c r="F106" s="60">
        <v>5450</v>
      </c>
      <c r="G106" s="60">
        <v>5450</v>
      </c>
      <c r="H106" s="59">
        <v>16350</v>
      </c>
      <c r="I106" s="60">
        <v>3461</v>
      </c>
      <c r="J106" s="60">
        <v>3461</v>
      </c>
      <c r="K106" s="59">
        <v>17305</v>
      </c>
      <c r="L106" s="60">
        <v>2223</v>
      </c>
      <c r="M106" s="60">
        <v>2223</v>
      </c>
      <c r="N106" s="59">
        <v>20007</v>
      </c>
      <c r="O106" s="62">
        <v>11682</v>
      </c>
      <c r="P106" s="62">
        <v>12149.28</v>
      </c>
      <c r="Q106" s="62">
        <v>12616.560000000001</v>
      </c>
      <c r="R106" s="62">
        <v>13083.840000000002</v>
      </c>
      <c r="S106" s="62">
        <v>13551.119999999999</v>
      </c>
    </row>
    <row r="107" spans="1:19" ht="12.75">
      <c r="A107" s="8">
        <v>7704331102</v>
      </c>
      <c r="B107" s="6" t="s">
        <v>39</v>
      </c>
      <c r="C107" s="6" t="s">
        <v>83</v>
      </c>
      <c r="D107" s="7" t="s">
        <v>7</v>
      </c>
      <c r="E107" s="59">
        <v>16350</v>
      </c>
      <c r="F107" s="60">
        <v>5450</v>
      </c>
      <c r="G107" s="60">
        <v>5450</v>
      </c>
      <c r="H107" s="59">
        <v>16350</v>
      </c>
      <c r="I107" s="60">
        <v>3461</v>
      </c>
      <c r="J107" s="60">
        <v>3461</v>
      </c>
      <c r="K107" s="59">
        <v>17305</v>
      </c>
      <c r="L107" s="60">
        <v>2223</v>
      </c>
      <c r="M107" s="60">
        <v>2223</v>
      </c>
      <c r="N107" s="59">
        <v>20007</v>
      </c>
      <c r="O107" s="62">
        <v>11682</v>
      </c>
      <c r="P107" s="62">
        <v>12149.28</v>
      </c>
      <c r="Q107" s="62">
        <v>12616.560000000001</v>
      </c>
      <c r="R107" s="62">
        <v>13083.840000000002</v>
      </c>
      <c r="S107" s="62">
        <v>13551.119999999999</v>
      </c>
    </row>
    <row r="108" spans="1:19" ht="12.75">
      <c r="A108" s="35">
        <v>7704330118</v>
      </c>
      <c r="B108" s="6" t="s">
        <v>238</v>
      </c>
      <c r="C108" s="6" t="s">
        <v>239</v>
      </c>
      <c r="D108" s="7" t="s">
        <v>7</v>
      </c>
      <c r="E108" s="59">
        <v>16350</v>
      </c>
      <c r="F108" s="60">
        <v>5450</v>
      </c>
      <c r="G108" s="60">
        <v>5450</v>
      </c>
      <c r="H108" s="59">
        <v>16350</v>
      </c>
      <c r="I108" s="60">
        <v>3461</v>
      </c>
      <c r="J108" s="60">
        <v>3461</v>
      </c>
      <c r="K108" s="59">
        <v>17305</v>
      </c>
      <c r="L108" s="60">
        <v>2223</v>
      </c>
      <c r="M108" s="60">
        <v>2223</v>
      </c>
      <c r="N108" s="59">
        <v>20007</v>
      </c>
      <c r="O108" s="62">
        <v>11682</v>
      </c>
      <c r="P108" s="62">
        <v>12149.28</v>
      </c>
      <c r="Q108" s="62">
        <v>12616.560000000001</v>
      </c>
      <c r="R108" s="62">
        <v>13083.840000000002</v>
      </c>
      <c r="S108" s="62">
        <v>13551.119999999999</v>
      </c>
    </row>
    <row r="109" spans="1:19" ht="12.75">
      <c r="A109" s="58">
        <v>7704330106</v>
      </c>
      <c r="B109" s="6" t="s">
        <v>84</v>
      </c>
      <c r="C109" s="6" t="s">
        <v>85</v>
      </c>
      <c r="D109" s="7" t="s">
        <v>7</v>
      </c>
      <c r="E109" s="59">
        <v>17850</v>
      </c>
      <c r="F109" s="60">
        <v>5950</v>
      </c>
      <c r="G109" s="60">
        <v>5950</v>
      </c>
      <c r="H109" s="59">
        <v>17850</v>
      </c>
      <c r="I109" s="60">
        <v>3779</v>
      </c>
      <c r="J109" s="60">
        <v>3779</v>
      </c>
      <c r="K109" s="59">
        <v>18895</v>
      </c>
      <c r="L109" s="60">
        <v>2428</v>
      </c>
      <c r="M109" s="60">
        <v>2428</v>
      </c>
      <c r="N109" s="59">
        <v>21852</v>
      </c>
      <c r="O109" s="62">
        <v>12754.8</v>
      </c>
      <c r="P109" s="62">
        <v>13264.992</v>
      </c>
      <c r="Q109" s="62">
        <v>13775.183999999999</v>
      </c>
      <c r="R109" s="62">
        <v>14285.376</v>
      </c>
      <c r="S109" s="62">
        <v>14795.567999999997</v>
      </c>
    </row>
    <row r="110" spans="1:19" ht="12.75">
      <c r="A110" s="58">
        <v>7704330124</v>
      </c>
      <c r="B110" s="6" t="s">
        <v>291</v>
      </c>
      <c r="C110" s="6" t="s">
        <v>150</v>
      </c>
      <c r="D110" s="7" t="s">
        <v>7</v>
      </c>
      <c r="E110" s="59">
        <v>9989.516160000001</v>
      </c>
      <c r="F110" s="60">
        <v>3329.516160000001</v>
      </c>
      <c r="G110" s="60">
        <v>3330</v>
      </c>
      <c r="H110" s="59">
        <v>9989.516160000001</v>
      </c>
      <c r="I110" s="60">
        <v>2140</v>
      </c>
      <c r="J110" s="60">
        <v>2140</v>
      </c>
      <c r="K110" s="59">
        <v>10700</v>
      </c>
      <c r="L110" s="60">
        <v>1314</v>
      </c>
      <c r="M110" s="60">
        <v>1314</v>
      </c>
      <c r="N110" s="59">
        <v>11826</v>
      </c>
      <c r="O110" s="62">
        <v>7581.5999999999995</v>
      </c>
      <c r="P110" s="62">
        <v>7884.8639999999996</v>
      </c>
      <c r="Q110" s="62">
        <v>8188.1279999999997</v>
      </c>
      <c r="R110" s="62">
        <v>8491.3919999999998</v>
      </c>
      <c r="S110" s="62">
        <v>8794.655999999999</v>
      </c>
    </row>
    <row r="111" spans="1:19" ht="12.75">
      <c r="A111" s="8">
        <v>7704330117</v>
      </c>
      <c r="B111" s="6" t="s">
        <v>304</v>
      </c>
      <c r="C111" s="6" t="s">
        <v>150</v>
      </c>
      <c r="D111" s="7" t="s">
        <v>7</v>
      </c>
      <c r="E111" s="59">
        <v>14640</v>
      </c>
      <c r="F111" s="60">
        <v>4880</v>
      </c>
      <c r="G111" s="60">
        <v>4880</v>
      </c>
      <c r="H111" s="59">
        <v>14640</v>
      </c>
      <c r="I111" s="60">
        <v>3097</v>
      </c>
      <c r="J111" s="60">
        <v>3097</v>
      </c>
      <c r="K111" s="59">
        <v>15485</v>
      </c>
      <c r="L111" s="60">
        <v>1990</v>
      </c>
      <c r="M111" s="60">
        <v>1990</v>
      </c>
      <c r="N111" s="59">
        <v>17910</v>
      </c>
      <c r="O111" s="62">
        <v>10537.199999999999</v>
      </c>
      <c r="P111" s="62">
        <v>10958.688</v>
      </c>
      <c r="Q111" s="62">
        <v>11380.175999999999</v>
      </c>
      <c r="R111" s="62">
        <v>11801.664000000001</v>
      </c>
      <c r="S111" s="62">
        <v>12223.151999999998</v>
      </c>
    </row>
    <row r="112" spans="1:19" ht="12.75">
      <c r="A112" s="8">
        <v>7704330116</v>
      </c>
      <c r="B112" s="6" t="s">
        <v>151</v>
      </c>
      <c r="C112" s="6" t="s">
        <v>152</v>
      </c>
      <c r="D112" s="7" t="s">
        <v>7</v>
      </c>
      <c r="E112" s="59">
        <v>14640</v>
      </c>
      <c r="F112" s="60">
        <v>4880</v>
      </c>
      <c r="G112" s="60">
        <v>4880</v>
      </c>
      <c r="H112" s="59">
        <v>14640</v>
      </c>
      <c r="I112" s="60">
        <v>3097</v>
      </c>
      <c r="J112" s="60">
        <v>3097</v>
      </c>
      <c r="K112" s="59">
        <v>15485</v>
      </c>
      <c r="L112" s="60">
        <v>1990</v>
      </c>
      <c r="M112" s="60">
        <v>1990</v>
      </c>
      <c r="N112" s="59">
        <v>17910</v>
      </c>
      <c r="O112" s="62">
        <v>10537.199999999999</v>
      </c>
      <c r="P112" s="62">
        <v>10958.688</v>
      </c>
      <c r="Q112" s="62">
        <v>11380.175999999999</v>
      </c>
      <c r="R112" s="62">
        <v>11801.664000000001</v>
      </c>
      <c r="S112" s="62">
        <v>12223.151999999998</v>
      </c>
    </row>
    <row r="113" spans="1:19" ht="12.75">
      <c r="A113" s="58">
        <v>7704330120</v>
      </c>
      <c r="B113" s="6" t="s">
        <v>292</v>
      </c>
      <c r="C113" s="6" t="s">
        <v>199</v>
      </c>
      <c r="D113" s="7" t="s">
        <v>89</v>
      </c>
      <c r="E113" s="59">
        <v>8829.9452000001002</v>
      </c>
      <c r="F113" s="60">
        <v>2943.9452000001002</v>
      </c>
      <c r="G113" s="60">
        <v>2943</v>
      </c>
      <c r="H113" s="59">
        <v>8829.9452000001002</v>
      </c>
      <c r="I113" s="60">
        <v>1891</v>
      </c>
      <c r="J113" s="60">
        <v>1891</v>
      </c>
      <c r="K113" s="59">
        <v>9455</v>
      </c>
      <c r="L113" s="60">
        <v>1162</v>
      </c>
      <c r="M113" s="60">
        <v>1162</v>
      </c>
      <c r="N113" s="59">
        <v>10458</v>
      </c>
      <c r="O113" s="62">
        <v>6702</v>
      </c>
      <c r="P113" s="62">
        <v>6970.08</v>
      </c>
      <c r="Q113" s="62">
        <v>7238.1600000000008</v>
      </c>
      <c r="R113" s="62">
        <v>7506.2400000000007</v>
      </c>
      <c r="S113" s="62">
        <v>7774.32</v>
      </c>
    </row>
    <row r="114" spans="1:19" ht="12.75">
      <c r="A114" s="35">
        <v>7704330232</v>
      </c>
      <c r="B114" s="6" t="s">
        <v>197</v>
      </c>
      <c r="C114" s="6" t="s">
        <v>198</v>
      </c>
      <c r="D114" s="7" t="s">
        <v>89</v>
      </c>
      <c r="E114" s="59">
        <v>11040</v>
      </c>
      <c r="F114" s="60">
        <v>3680</v>
      </c>
      <c r="G114" s="60">
        <v>3680</v>
      </c>
      <c r="H114" s="59">
        <v>11040</v>
      </c>
      <c r="I114" s="60">
        <v>2339</v>
      </c>
      <c r="J114" s="60">
        <v>2339</v>
      </c>
      <c r="K114" s="59">
        <v>11695</v>
      </c>
      <c r="L114" s="60">
        <v>1503</v>
      </c>
      <c r="M114" s="60">
        <v>1503</v>
      </c>
      <c r="N114" s="59">
        <v>13527</v>
      </c>
      <c r="O114" s="62">
        <v>8022</v>
      </c>
      <c r="P114" s="62">
        <v>8342.880000000001</v>
      </c>
      <c r="Q114" s="62">
        <v>8663.76</v>
      </c>
      <c r="R114" s="62">
        <v>8984.6400000000012</v>
      </c>
      <c r="S114" s="62">
        <v>9305.5199999999986</v>
      </c>
    </row>
    <row r="115" spans="1:19" ht="12.75">
      <c r="A115" s="35">
        <v>7704330233</v>
      </c>
      <c r="B115" s="6" t="s">
        <v>305</v>
      </c>
      <c r="C115" s="6" t="s">
        <v>199</v>
      </c>
      <c r="D115" s="7" t="s">
        <v>89</v>
      </c>
      <c r="E115" s="59">
        <v>11040</v>
      </c>
      <c r="F115" s="60">
        <v>3680</v>
      </c>
      <c r="G115" s="60">
        <v>3680</v>
      </c>
      <c r="H115" s="59">
        <v>11040</v>
      </c>
      <c r="I115" s="60">
        <v>2339</v>
      </c>
      <c r="J115" s="60">
        <v>2339</v>
      </c>
      <c r="K115" s="59">
        <v>11695</v>
      </c>
      <c r="L115" s="60">
        <v>1503</v>
      </c>
      <c r="M115" s="60">
        <v>1503</v>
      </c>
      <c r="N115" s="59">
        <v>13527</v>
      </c>
      <c r="O115" s="62">
        <v>8022</v>
      </c>
      <c r="P115" s="62">
        <v>8342.880000000001</v>
      </c>
      <c r="Q115" s="62">
        <v>8663.76</v>
      </c>
      <c r="R115" s="62">
        <v>8984.6400000000012</v>
      </c>
      <c r="S115" s="62">
        <v>9305.5199999999986</v>
      </c>
    </row>
    <row r="116" spans="1:19" ht="12.75">
      <c r="A116" s="35">
        <v>7704330234</v>
      </c>
      <c r="B116" s="6" t="s">
        <v>200</v>
      </c>
      <c r="C116" s="6" t="s">
        <v>201</v>
      </c>
      <c r="D116" s="7" t="s">
        <v>89</v>
      </c>
      <c r="E116" s="59">
        <v>11040</v>
      </c>
      <c r="F116" s="60">
        <v>3680</v>
      </c>
      <c r="G116" s="60">
        <v>3680</v>
      </c>
      <c r="H116" s="59">
        <v>11040</v>
      </c>
      <c r="I116" s="60">
        <v>2339</v>
      </c>
      <c r="J116" s="60">
        <v>2339</v>
      </c>
      <c r="K116" s="59">
        <v>11695</v>
      </c>
      <c r="L116" s="60">
        <v>1503</v>
      </c>
      <c r="M116" s="60">
        <v>1503</v>
      </c>
      <c r="N116" s="59">
        <v>13527</v>
      </c>
      <c r="O116" s="62">
        <v>8022</v>
      </c>
      <c r="P116" s="62">
        <v>8342.880000000001</v>
      </c>
      <c r="Q116" s="62">
        <v>8663.76</v>
      </c>
      <c r="R116" s="62">
        <v>8984.6400000000012</v>
      </c>
      <c r="S116" s="62">
        <v>9305.5199999999986</v>
      </c>
    </row>
    <row r="117" spans="1:19" ht="12.75">
      <c r="A117" s="58">
        <v>7704330121</v>
      </c>
      <c r="B117" s="6" t="s">
        <v>293</v>
      </c>
      <c r="C117" s="6" t="s">
        <v>294</v>
      </c>
      <c r="D117" s="7" t="s">
        <v>89</v>
      </c>
      <c r="E117" s="59">
        <v>7230.1247999999996</v>
      </c>
      <c r="F117" s="60">
        <v>2410.1247999999996</v>
      </c>
      <c r="G117" s="60">
        <v>2410</v>
      </c>
      <c r="H117" s="59">
        <v>7230.1247999999996</v>
      </c>
      <c r="I117" s="60">
        <v>1550</v>
      </c>
      <c r="J117" s="60">
        <v>1550</v>
      </c>
      <c r="K117" s="59">
        <v>7750</v>
      </c>
      <c r="L117" s="60">
        <v>952</v>
      </c>
      <c r="M117" s="60">
        <v>952</v>
      </c>
      <c r="N117" s="59">
        <v>8568</v>
      </c>
      <c r="O117" s="62">
        <v>5578.8</v>
      </c>
      <c r="P117" s="62">
        <v>5801.9520000000002</v>
      </c>
      <c r="Q117" s="62">
        <v>6025.1040000000003</v>
      </c>
      <c r="R117" s="62">
        <v>6248.2560000000012</v>
      </c>
      <c r="S117" s="62">
        <v>6471.4079999999994</v>
      </c>
    </row>
    <row r="118" spans="1:19" ht="12.75">
      <c r="A118" s="8">
        <v>7704331224</v>
      </c>
      <c r="B118" s="6" t="s">
        <v>87</v>
      </c>
      <c r="C118" s="6" t="s">
        <v>88</v>
      </c>
      <c r="D118" s="7" t="s">
        <v>89</v>
      </c>
      <c r="E118" s="59">
        <v>10140</v>
      </c>
      <c r="F118" s="60">
        <v>3380</v>
      </c>
      <c r="G118" s="60">
        <v>3380</v>
      </c>
      <c r="H118" s="59">
        <v>10140</v>
      </c>
      <c r="I118" s="60">
        <v>2150</v>
      </c>
      <c r="J118" s="60">
        <v>2150</v>
      </c>
      <c r="K118" s="59">
        <v>10750</v>
      </c>
      <c r="L118" s="60">
        <v>1383</v>
      </c>
      <c r="M118" s="60">
        <v>1383</v>
      </c>
      <c r="N118" s="59">
        <v>12447</v>
      </c>
      <c r="O118" s="62">
        <v>7616.4</v>
      </c>
      <c r="P118" s="62">
        <v>7921.0559999999996</v>
      </c>
      <c r="Q118" s="62">
        <v>8225.7119999999995</v>
      </c>
      <c r="R118" s="62">
        <v>8530.3680000000004</v>
      </c>
      <c r="S118" s="62">
        <v>8835.0239999999994</v>
      </c>
    </row>
    <row r="119" spans="1:19" ht="12.75">
      <c r="A119" s="8">
        <v>7704331223</v>
      </c>
      <c r="B119" s="6" t="s">
        <v>309</v>
      </c>
      <c r="C119" s="6" t="s">
        <v>90</v>
      </c>
      <c r="D119" s="7" t="s">
        <v>89</v>
      </c>
      <c r="E119" s="59">
        <v>10140</v>
      </c>
      <c r="F119" s="60">
        <v>3380</v>
      </c>
      <c r="G119" s="60">
        <v>3380</v>
      </c>
      <c r="H119" s="59">
        <v>10140</v>
      </c>
      <c r="I119" s="60">
        <v>2150</v>
      </c>
      <c r="J119" s="60">
        <v>2150</v>
      </c>
      <c r="K119" s="59">
        <v>10750</v>
      </c>
      <c r="L119" s="60">
        <v>1383</v>
      </c>
      <c r="M119" s="60">
        <v>1383</v>
      </c>
      <c r="N119" s="59">
        <v>12447</v>
      </c>
      <c r="O119" s="50"/>
      <c r="P119" s="50"/>
      <c r="Q119" s="50"/>
      <c r="R119" s="50"/>
      <c r="S119" s="50"/>
    </row>
    <row r="120" spans="1:19" ht="12.75">
      <c r="A120" s="8">
        <v>7704330112</v>
      </c>
      <c r="B120" s="6" t="s">
        <v>136</v>
      </c>
      <c r="C120" s="6" t="s">
        <v>137</v>
      </c>
      <c r="D120" s="7" t="s">
        <v>89</v>
      </c>
      <c r="E120" s="59">
        <v>10140</v>
      </c>
      <c r="F120" s="60">
        <v>3380</v>
      </c>
      <c r="G120" s="60">
        <v>3380</v>
      </c>
      <c r="H120" s="59">
        <v>10140</v>
      </c>
      <c r="I120" s="60">
        <v>2150</v>
      </c>
      <c r="J120" s="60">
        <v>2150</v>
      </c>
      <c r="K120" s="59">
        <v>10750</v>
      </c>
      <c r="L120" s="60">
        <v>1383</v>
      </c>
      <c r="M120" s="60">
        <v>1383</v>
      </c>
      <c r="N120" s="59">
        <v>12447</v>
      </c>
      <c r="O120" s="62">
        <v>7616.4</v>
      </c>
      <c r="P120" s="62">
        <v>7921.0559999999996</v>
      </c>
      <c r="Q120" s="62">
        <v>8225.7119999999995</v>
      </c>
      <c r="R120" s="62">
        <v>8530.3680000000004</v>
      </c>
      <c r="S120" s="62">
        <v>8835.0239999999994</v>
      </c>
    </row>
    <row r="121" spans="1:19" ht="12.75">
      <c r="A121" s="58">
        <v>9260181100</v>
      </c>
      <c r="B121" s="6" t="s">
        <v>295</v>
      </c>
      <c r="C121" s="6" t="s">
        <v>296</v>
      </c>
      <c r="D121" s="7" t="s">
        <v>80</v>
      </c>
      <c r="E121" s="59">
        <v>6250.3487999999998</v>
      </c>
      <c r="F121" s="60">
        <v>2084.3487999999998</v>
      </c>
      <c r="G121" s="60">
        <v>2083</v>
      </c>
      <c r="H121" s="59">
        <v>6250.3487999999998</v>
      </c>
      <c r="I121" s="60">
        <v>1340</v>
      </c>
      <c r="J121" s="60">
        <v>1340</v>
      </c>
      <c r="K121" s="59">
        <v>6700</v>
      </c>
      <c r="L121" s="60">
        <v>823</v>
      </c>
      <c r="M121" s="60">
        <v>823</v>
      </c>
      <c r="N121" s="59">
        <v>7407</v>
      </c>
      <c r="O121" s="62">
        <v>4822.8</v>
      </c>
      <c r="P121" s="62">
        <v>5015.7120000000004</v>
      </c>
      <c r="Q121" s="62">
        <v>5208.6240000000007</v>
      </c>
      <c r="R121" s="62">
        <v>5401.536000000001</v>
      </c>
      <c r="S121" s="62">
        <v>5594.4479999999994</v>
      </c>
    </row>
    <row r="122" spans="1:19" ht="12.75">
      <c r="A122" s="29"/>
      <c r="B122" s="30" t="s">
        <v>25</v>
      </c>
      <c r="C122" s="29"/>
      <c r="D122" s="31"/>
      <c r="E122" s="61"/>
      <c r="F122" s="61"/>
      <c r="G122" s="61"/>
      <c r="H122" s="61"/>
      <c r="I122" s="61"/>
      <c r="J122" s="61"/>
      <c r="K122" s="61"/>
      <c r="L122" s="61"/>
      <c r="M122" s="61"/>
      <c r="N122" s="61"/>
      <c r="O122" s="63"/>
      <c r="P122" s="63"/>
      <c r="Q122" s="63"/>
      <c r="R122" s="63"/>
      <c r="S122" s="63"/>
    </row>
    <row r="123" spans="1:19" ht="12.75">
      <c r="A123" s="11">
        <v>7705330103</v>
      </c>
      <c r="B123" s="6" t="s">
        <v>153</v>
      </c>
      <c r="C123" s="6" t="s">
        <v>154</v>
      </c>
      <c r="D123" s="7" t="s">
        <v>110</v>
      </c>
      <c r="E123" s="59">
        <v>49080</v>
      </c>
      <c r="F123" s="60">
        <v>16360</v>
      </c>
      <c r="G123" s="60">
        <v>16360</v>
      </c>
      <c r="H123" s="59">
        <v>49080</v>
      </c>
      <c r="I123" s="60">
        <v>10388</v>
      </c>
      <c r="J123" s="60">
        <v>10388</v>
      </c>
      <c r="K123" s="59">
        <v>51940</v>
      </c>
      <c r="L123" s="60">
        <v>6673</v>
      </c>
      <c r="M123" s="60">
        <v>6673</v>
      </c>
      <c r="N123" s="59">
        <v>60057</v>
      </c>
      <c r="O123" s="62">
        <v>35061.599999999999</v>
      </c>
      <c r="P123" s="62">
        <v>36464.063999999998</v>
      </c>
      <c r="Q123" s="62">
        <v>37866.527999999998</v>
      </c>
      <c r="R123" s="62">
        <v>39268.992000000006</v>
      </c>
      <c r="S123" s="62">
        <v>40671.455999999998</v>
      </c>
    </row>
    <row r="124" spans="1:19" ht="12.75">
      <c r="A124" s="58">
        <v>7705330110</v>
      </c>
      <c r="B124" s="6" t="s">
        <v>297</v>
      </c>
      <c r="C124" s="6" t="s">
        <v>91</v>
      </c>
      <c r="D124" s="7" t="s">
        <v>7</v>
      </c>
      <c r="E124" s="59">
        <v>22989.845919999898</v>
      </c>
      <c r="F124" s="60">
        <v>7663.8459199998979</v>
      </c>
      <c r="G124" s="60">
        <v>7663</v>
      </c>
      <c r="H124" s="59">
        <v>22989.845919999898</v>
      </c>
      <c r="I124" s="60">
        <v>4925</v>
      </c>
      <c r="J124" s="60">
        <v>4925</v>
      </c>
      <c r="K124" s="59">
        <v>24625</v>
      </c>
      <c r="L124" s="60">
        <v>3024</v>
      </c>
      <c r="M124" s="60">
        <v>3024</v>
      </c>
      <c r="N124" s="59">
        <v>27216</v>
      </c>
      <c r="O124" s="62">
        <v>17449.2</v>
      </c>
      <c r="P124" s="62">
        <v>18147.168000000001</v>
      </c>
      <c r="Q124" s="62">
        <v>18845.136000000002</v>
      </c>
      <c r="R124" s="62">
        <v>19543.104000000003</v>
      </c>
      <c r="S124" s="62">
        <v>20241.072</v>
      </c>
    </row>
    <row r="125" spans="1:19" ht="12.75">
      <c r="A125" s="58">
        <v>7705330111</v>
      </c>
      <c r="B125" s="6" t="s">
        <v>298</v>
      </c>
      <c r="C125" s="6" t="s">
        <v>92</v>
      </c>
      <c r="D125" s="7" t="s">
        <v>7</v>
      </c>
      <c r="E125" s="59">
        <v>22989.845919999898</v>
      </c>
      <c r="F125" s="60">
        <v>7663.8459199998979</v>
      </c>
      <c r="G125" s="60">
        <v>7663</v>
      </c>
      <c r="H125" s="59">
        <v>22989.845919999898</v>
      </c>
      <c r="I125" s="60">
        <v>4925</v>
      </c>
      <c r="J125" s="60">
        <v>4925</v>
      </c>
      <c r="K125" s="59">
        <v>24625</v>
      </c>
      <c r="L125" s="60">
        <v>3024</v>
      </c>
      <c r="M125" s="60">
        <v>3024</v>
      </c>
      <c r="N125" s="59">
        <v>27216</v>
      </c>
      <c r="O125" s="62">
        <v>17449.2</v>
      </c>
      <c r="P125" s="62">
        <v>18147.168000000001</v>
      </c>
      <c r="Q125" s="62">
        <v>18845.136000000002</v>
      </c>
      <c r="R125" s="62">
        <v>19543.104000000003</v>
      </c>
      <c r="S125" s="62">
        <v>20241.072</v>
      </c>
    </row>
    <row r="126" spans="1:19" ht="12.75">
      <c r="A126" s="8">
        <v>7705331102</v>
      </c>
      <c r="B126" s="6" t="s">
        <v>310</v>
      </c>
      <c r="C126" s="6" t="s">
        <v>91</v>
      </c>
      <c r="D126" s="7" t="s">
        <v>7</v>
      </c>
      <c r="E126" s="59">
        <v>35010</v>
      </c>
      <c r="F126" s="60">
        <v>11670</v>
      </c>
      <c r="G126" s="60">
        <v>11670</v>
      </c>
      <c r="H126" s="59">
        <v>35010</v>
      </c>
      <c r="I126" s="60">
        <v>7411</v>
      </c>
      <c r="J126" s="60">
        <v>7411</v>
      </c>
      <c r="K126" s="59">
        <v>37055</v>
      </c>
      <c r="L126" s="60">
        <v>4761</v>
      </c>
      <c r="M126" s="60">
        <v>4761</v>
      </c>
      <c r="N126" s="59">
        <v>42849</v>
      </c>
      <c r="O126" s="62">
        <v>25014</v>
      </c>
      <c r="P126" s="62">
        <v>26014.560000000001</v>
      </c>
      <c r="Q126" s="62">
        <v>27015.120000000003</v>
      </c>
      <c r="R126" s="62">
        <v>28015.680000000004</v>
      </c>
      <c r="S126" s="62">
        <v>29016.239999999998</v>
      </c>
    </row>
    <row r="127" spans="1:19" ht="12.75">
      <c r="A127" s="8">
        <v>7705331101</v>
      </c>
      <c r="B127" s="6" t="s">
        <v>311</v>
      </c>
      <c r="C127" s="6" t="s">
        <v>92</v>
      </c>
      <c r="D127" s="7" t="s">
        <v>7</v>
      </c>
      <c r="E127" s="59">
        <v>35010</v>
      </c>
      <c r="F127" s="60">
        <v>11670</v>
      </c>
      <c r="G127" s="60">
        <v>11670</v>
      </c>
      <c r="H127" s="59">
        <v>35010</v>
      </c>
      <c r="I127" s="60">
        <v>7411</v>
      </c>
      <c r="J127" s="60">
        <v>7411</v>
      </c>
      <c r="K127" s="59">
        <v>37055</v>
      </c>
      <c r="L127" s="60">
        <v>4761</v>
      </c>
      <c r="M127" s="60">
        <v>4761</v>
      </c>
      <c r="N127" s="59">
        <v>42849</v>
      </c>
      <c r="O127" s="62">
        <v>25014</v>
      </c>
      <c r="P127" s="62">
        <v>26014.560000000001</v>
      </c>
      <c r="Q127" s="62">
        <v>27015.120000000003</v>
      </c>
      <c r="R127" s="62">
        <v>28015.680000000004</v>
      </c>
      <c r="S127" s="62">
        <v>29016.239999999998</v>
      </c>
    </row>
    <row r="128" spans="1:19" ht="12.75">
      <c r="A128" s="8">
        <v>7705330101</v>
      </c>
      <c r="B128" s="6" t="s">
        <v>93</v>
      </c>
      <c r="C128" s="6" t="s">
        <v>94</v>
      </c>
      <c r="D128" s="7" t="s">
        <v>80</v>
      </c>
      <c r="E128" s="59">
        <v>18360</v>
      </c>
      <c r="F128" s="60">
        <v>6120</v>
      </c>
      <c r="G128" s="60">
        <v>6120</v>
      </c>
      <c r="H128" s="59">
        <v>18360</v>
      </c>
      <c r="I128" s="60">
        <v>3886</v>
      </c>
      <c r="J128" s="60">
        <v>3886</v>
      </c>
      <c r="K128" s="59">
        <v>19430</v>
      </c>
      <c r="L128" s="60">
        <v>2497</v>
      </c>
      <c r="M128" s="60">
        <v>2497</v>
      </c>
      <c r="N128" s="59">
        <v>22473</v>
      </c>
      <c r="O128" s="62">
        <v>13326</v>
      </c>
      <c r="P128" s="62">
        <v>13859.04</v>
      </c>
      <c r="Q128" s="62">
        <v>14392.080000000002</v>
      </c>
      <c r="R128" s="62">
        <v>14925.12</v>
      </c>
      <c r="S128" s="62">
        <v>15458.159999999998</v>
      </c>
    </row>
    <row r="129" spans="1:19" ht="12.75">
      <c r="A129" s="29"/>
      <c r="B129" s="30" t="s">
        <v>26</v>
      </c>
      <c r="C129" s="29"/>
      <c r="D129" s="31"/>
      <c r="E129" s="61"/>
      <c r="F129" s="61"/>
      <c r="G129" s="61"/>
      <c r="H129" s="61"/>
      <c r="I129" s="61"/>
      <c r="J129" s="61"/>
      <c r="K129" s="61"/>
      <c r="L129" s="61"/>
      <c r="M129" s="61"/>
      <c r="N129" s="61"/>
      <c r="O129" s="63"/>
      <c r="P129" s="63"/>
      <c r="Q129" s="63"/>
      <c r="R129" s="63"/>
      <c r="S129" s="63"/>
    </row>
    <row r="130" spans="1:19" ht="12.75">
      <c r="A130" s="58">
        <v>9218011100</v>
      </c>
      <c r="B130" s="6" t="s">
        <v>299</v>
      </c>
      <c r="C130" s="6" t="s">
        <v>97</v>
      </c>
      <c r="D130" s="7" t="s">
        <v>86</v>
      </c>
      <c r="E130" s="59">
        <v>8319.6324800001003</v>
      </c>
      <c r="F130" s="60">
        <v>2773.6324800001003</v>
      </c>
      <c r="G130" s="60">
        <v>2773</v>
      </c>
      <c r="H130" s="59">
        <v>8319.6324800001003</v>
      </c>
      <c r="I130" s="60">
        <v>1784</v>
      </c>
      <c r="J130" s="60">
        <v>1784</v>
      </c>
      <c r="K130" s="59">
        <v>8920</v>
      </c>
      <c r="L130" s="60">
        <v>1097</v>
      </c>
      <c r="M130" s="60">
        <v>1097</v>
      </c>
      <c r="N130" s="59">
        <v>9873</v>
      </c>
      <c r="O130" s="62">
        <v>6529.2</v>
      </c>
      <c r="P130" s="62">
        <v>6790.3680000000004</v>
      </c>
      <c r="Q130" s="62">
        <v>7051.5360000000001</v>
      </c>
      <c r="R130" s="62">
        <v>7312.7040000000006</v>
      </c>
      <c r="S130" s="62">
        <v>7573.8719999999994</v>
      </c>
    </row>
    <row r="131" spans="1:19" ht="12.75">
      <c r="A131" s="33">
        <v>8863321100</v>
      </c>
      <c r="B131" s="6" t="s">
        <v>18</v>
      </c>
      <c r="C131" s="6" t="s">
        <v>95</v>
      </c>
      <c r="D131" s="34" t="s">
        <v>86</v>
      </c>
      <c r="E131" s="59">
        <v>10500</v>
      </c>
      <c r="F131" s="60">
        <v>3500</v>
      </c>
      <c r="G131" s="60">
        <v>3500</v>
      </c>
      <c r="H131" s="59">
        <v>10500</v>
      </c>
      <c r="I131" s="60">
        <v>2224</v>
      </c>
      <c r="J131" s="60">
        <v>2224</v>
      </c>
      <c r="K131" s="59">
        <v>11120</v>
      </c>
      <c r="L131" s="60">
        <v>1429</v>
      </c>
      <c r="M131" s="60">
        <v>1429</v>
      </c>
      <c r="N131" s="59">
        <v>12861</v>
      </c>
      <c r="O131" s="62">
        <v>7507.2</v>
      </c>
      <c r="P131" s="62">
        <v>7807.4880000000003</v>
      </c>
      <c r="Q131" s="62">
        <v>8107.7760000000007</v>
      </c>
      <c r="R131" s="62">
        <v>8408.0640000000003</v>
      </c>
      <c r="S131" s="62">
        <v>8708.351999999999</v>
      </c>
    </row>
    <row r="132" spans="1:19" ht="12.75">
      <c r="A132" s="33">
        <v>8863341100</v>
      </c>
      <c r="B132" s="6" t="s">
        <v>19</v>
      </c>
      <c r="C132" s="6" t="s">
        <v>96</v>
      </c>
      <c r="D132" s="34" t="s">
        <v>86</v>
      </c>
      <c r="E132" s="59">
        <v>10500</v>
      </c>
      <c r="F132" s="60">
        <v>3500</v>
      </c>
      <c r="G132" s="60">
        <v>3500</v>
      </c>
      <c r="H132" s="59">
        <v>10500</v>
      </c>
      <c r="I132" s="60">
        <v>2224</v>
      </c>
      <c r="J132" s="60">
        <v>2224</v>
      </c>
      <c r="K132" s="59">
        <v>11120</v>
      </c>
      <c r="L132" s="60">
        <v>1429</v>
      </c>
      <c r="M132" s="60">
        <v>1429</v>
      </c>
      <c r="N132" s="59">
        <v>12861</v>
      </c>
      <c r="O132" s="62">
        <v>7507.2</v>
      </c>
      <c r="P132" s="62">
        <v>7807.4880000000003</v>
      </c>
      <c r="Q132" s="62">
        <v>8107.7760000000007</v>
      </c>
      <c r="R132" s="62">
        <v>8408.0640000000003</v>
      </c>
      <c r="S132" s="62">
        <v>8708.351999999999</v>
      </c>
    </row>
    <row r="133" spans="1:19" ht="12.75">
      <c r="A133" s="33">
        <v>8863331100</v>
      </c>
      <c r="B133" s="6" t="s">
        <v>312</v>
      </c>
      <c r="C133" s="6" t="s">
        <v>97</v>
      </c>
      <c r="D133" s="34" t="s">
        <v>86</v>
      </c>
      <c r="E133" s="59">
        <v>10500</v>
      </c>
      <c r="F133" s="60">
        <v>3500</v>
      </c>
      <c r="G133" s="60">
        <v>3500</v>
      </c>
      <c r="H133" s="59">
        <v>10500</v>
      </c>
      <c r="I133" s="60">
        <v>2224</v>
      </c>
      <c r="J133" s="60">
        <v>2224</v>
      </c>
      <c r="K133" s="59">
        <v>11120</v>
      </c>
      <c r="L133" s="60">
        <v>1429</v>
      </c>
      <c r="M133" s="60">
        <v>1429</v>
      </c>
      <c r="N133" s="59">
        <v>12861</v>
      </c>
      <c r="O133" s="62">
        <v>7507.2</v>
      </c>
      <c r="P133" s="62">
        <v>7807.4880000000003</v>
      </c>
      <c r="Q133" s="62">
        <v>8107.7760000000007</v>
      </c>
      <c r="R133" s="62">
        <v>8408.0640000000003</v>
      </c>
      <c r="S133" s="62">
        <v>8708.351999999999</v>
      </c>
    </row>
    <row r="134" spans="1:19" ht="12.75">
      <c r="A134" s="29"/>
      <c r="B134" s="30" t="s">
        <v>27</v>
      </c>
      <c r="C134" s="29"/>
      <c r="D134" s="31"/>
      <c r="E134" s="61"/>
      <c r="F134" s="61"/>
      <c r="G134" s="61"/>
      <c r="H134" s="61"/>
      <c r="I134" s="61"/>
      <c r="J134" s="61"/>
      <c r="K134" s="61"/>
      <c r="L134" s="61"/>
      <c r="M134" s="61"/>
      <c r="N134" s="61"/>
      <c r="O134" s="63"/>
      <c r="P134" s="63"/>
      <c r="Q134" s="63"/>
      <c r="R134" s="63"/>
      <c r="S134" s="63"/>
    </row>
    <row r="135" spans="1:19" ht="12.75">
      <c r="A135" s="58">
        <v>9218831100</v>
      </c>
      <c r="B135" s="6" t="s">
        <v>300</v>
      </c>
      <c r="C135" s="6" t="s">
        <v>301</v>
      </c>
      <c r="D135" s="7" t="s">
        <v>80</v>
      </c>
      <c r="E135" s="59">
        <v>24989.601600000002</v>
      </c>
      <c r="F135" s="60">
        <v>8329.6016000000018</v>
      </c>
      <c r="G135" s="60">
        <v>8330</v>
      </c>
      <c r="H135" s="59">
        <v>24989.601600000002</v>
      </c>
      <c r="I135" s="60">
        <v>5353</v>
      </c>
      <c r="J135" s="60">
        <v>5353</v>
      </c>
      <c r="K135" s="59">
        <v>26765</v>
      </c>
      <c r="L135" s="60">
        <v>3287</v>
      </c>
      <c r="M135" s="60">
        <v>3287</v>
      </c>
      <c r="N135" s="59">
        <v>29583</v>
      </c>
      <c r="O135" s="62">
        <v>18966</v>
      </c>
      <c r="P135" s="62">
        <v>19724.64</v>
      </c>
      <c r="Q135" s="62">
        <v>20483.280000000002</v>
      </c>
      <c r="R135" s="62">
        <v>21241.920000000002</v>
      </c>
      <c r="S135" s="62">
        <v>22000.559999999998</v>
      </c>
    </row>
    <row r="136" spans="1:19" ht="12.75">
      <c r="A136" s="33">
        <v>8863831100</v>
      </c>
      <c r="B136" s="6" t="s">
        <v>313</v>
      </c>
      <c r="C136" s="6" t="s">
        <v>98</v>
      </c>
      <c r="D136" s="7" t="s">
        <v>80</v>
      </c>
      <c r="E136" s="59">
        <v>27660</v>
      </c>
      <c r="F136" s="60">
        <v>9220</v>
      </c>
      <c r="G136" s="60">
        <v>9220</v>
      </c>
      <c r="H136" s="59">
        <v>27660</v>
      </c>
      <c r="I136" s="60">
        <v>5857</v>
      </c>
      <c r="J136" s="60">
        <v>5857</v>
      </c>
      <c r="K136" s="59">
        <v>29285</v>
      </c>
      <c r="L136" s="60">
        <v>3763</v>
      </c>
      <c r="M136" s="60">
        <v>3763</v>
      </c>
      <c r="N136" s="59">
        <v>33867</v>
      </c>
      <c r="O136" s="62">
        <v>19770</v>
      </c>
      <c r="P136" s="62">
        <v>20560.8</v>
      </c>
      <c r="Q136" s="62">
        <v>21351.600000000002</v>
      </c>
      <c r="R136" s="62">
        <v>22142.400000000001</v>
      </c>
      <c r="S136" s="62">
        <v>22933.199999999997</v>
      </c>
    </row>
    <row r="137" spans="1:19" ht="12.75">
      <c r="A137" s="29"/>
      <c r="B137" s="30" t="s">
        <v>28</v>
      </c>
      <c r="C137" s="29"/>
      <c r="D137" s="31"/>
      <c r="E137" s="61"/>
      <c r="F137" s="61"/>
      <c r="G137" s="61"/>
      <c r="H137" s="61"/>
      <c r="I137" s="61"/>
      <c r="J137" s="61"/>
      <c r="K137" s="61"/>
      <c r="L137" s="61"/>
      <c r="M137" s="61"/>
      <c r="N137" s="61"/>
      <c r="O137" s="63"/>
      <c r="P137" s="63"/>
      <c r="Q137" s="63"/>
      <c r="R137" s="63"/>
      <c r="S137" s="63"/>
    </row>
    <row r="138" spans="1:19" ht="12.75">
      <c r="A138" s="8">
        <v>7703321101</v>
      </c>
      <c r="B138" s="6" t="s">
        <v>314</v>
      </c>
      <c r="C138" s="6" t="s">
        <v>99</v>
      </c>
      <c r="D138" s="7" t="s">
        <v>89</v>
      </c>
      <c r="E138" s="59">
        <v>16500</v>
      </c>
      <c r="F138" s="60">
        <v>5500</v>
      </c>
      <c r="G138" s="60">
        <v>5500</v>
      </c>
      <c r="H138" s="59">
        <v>16500</v>
      </c>
      <c r="I138" s="60">
        <v>3495</v>
      </c>
      <c r="J138" s="60">
        <v>3495</v>
      </c>
      <c r="K138" s="59">
        <v>17475</v>
      </c>
      <c r="L138" s="60">
        <v>2246</v>
      </c>
      <c r="M138" s="60">
        <v>2246</v>
      </c>
      <c r="N138" s="59">
        <v>20214</v>
      </c>
      <c r="O138" s="62">
        <v>11798.4</v>
      </c>
      <c r="P138" s="62">
        <v>12270.335999999999</v>
      </c>
      <c r="Q138" s="62">
        <v>12742.272000000001</v>
      </c>
      <c r="R138" s="62">
        <v>13214.208000000001</v>
      </c>
      <c r="S138" s="62">
        <v>13686.143999999998</v>
      </c>
    </row>
    <row r="139" spans="1:19" ht="12.75">
      <c r="A139" s="8">
        <v>7703330101</v>
      </c>
      <c r="B139" s="6" t="s">
        <v>100</v>
      </c>
      <c r="C139" s="6" t="s">
        <v>101</v>
      </c>
      <c r="D139" s="7" t="s">
        <v>7</v>
      </c>
      <c r="E139" s="59">
        <v>24720</v>
      </c>
      <c r="F139" s="60">
        <v>8240</v>
      </c>
      <c r="G139" s="60">
        <v>8240</v>
      </c>
      <c r="H139" s="59">
        <v>24720</v>
      </c>
      <c r="I139" s="60">
        <v>5235</v>
      </c>
      <c r="J139" s="60">
        <v>5235</v>
      </c>
      <c r="K139" s="59">
        <v>26175</v>
      </c>
      <c r="L139" s="60">
        <v>3363</v>
      </c>
      <c r="M139" s="60">
        <v>3363</v>
      </c>
      <c r="N139" s="59">
        <v>30267</v>
      </c>
      <c r="O139" s="62">
        <v>17668.8</v>
      </c>
      <c r="P139" s="62">
        <v>18375.552</v>
      </c>
      <c r="Q139" s="62">
        <v>19082.304</v>
      </c>
      <c r="R139" s="62">
        <v>19789.056</v>
      </c>
      <c r="S139" s="62">
        <v>20495.807999999997</v>
      </c>
    </row>
    <row r="140" spans="1:19" ht="12.75">
      <c r="A140" s="29"/>
      <c r="B140" s="30" t="s">
        <v>29</v>
      </c>
      <c r="C140" s="29"/>
      <c r="D140" s="31"/>
      <c r="E140" s="61"/>
      <c r="F140" s="61"/>
      <c r="G140" s="61"/>
      <c r="H140" s="61"/>
      <c r="I140" s="61"/>
      <c r="J140" s="61"/>
      <c r="K140" s="61"/>
      <c r="L140" s="61"/>
      <c r="M140" s="61"/>
      <c r="N140" s="61"/>
      <c r="O140" s="63"/>
      <c r="P140" s="63"/>
      <c r="Q140" s="63"/>
      <c r="R140" s="63"/>
      <c r="S140" s="63"/>
    </row>
    <row r="141" spans="1:19" ht="12.75">
      <c r="A141" s="8">
        <v>7706330102</v>
      </c>
      <c r="B141" s="6" t="s">
        <v>102</v>
      </c>
      <c r="C141" s="6" t="s">
        <v>103</v>
      </c>
      <c r="D141" s="7" t="s">
        <v>89</v>
      </c>
      <c r="E141" s="59">
        <v>23790</v>
      </c>
      <c r="F141" s="60">
        <v>7930</v>
      </c>
      <c r="G141" s="60">
        <v>7930</v>
      </c>
      <c r="H141" s="59">
        <v>23790</v>
      </c>
      <c r="I141" s="60">
        <v>5033</v>
      </c>
      <c r="J141" s="60">
        <v>5033</v>
      </c>
      <c r="K141" s="59">
        <v>25165</v>
      </c>
      <c r="L141" s="60">
        <v>3234</v>
      </c>
      <c r="M141" s="60">
        <v>3234</v>
      </c>
      <c r="N141" s="59">
        <v>29106</v>
      </c>
      <c r="O141" s="62">
        <v>16989.599999999999</v>
      </c>
      <c r="P141" s="62">
        <v>17669.183999999997</v>
      </c>
      <c r="Q141" s="62">
        <v>18348.768</v>
      </c>
      <c r="R141" s="62">
        <v>19028.351999999999</v>
      </c>
      <c r="S141" s="62">
        <v>19707.935999999998</v>
      </c>
    </row>
    <row r="142" spans="1:19" ht="12.75">
      <c r="A142" s="29"/>
      <c r="B142" s="30" t="s">
        <v>138</v>
      </c>
      <c r="C142" s="29"/>
      <c r="D142" s="31"/>
      <c r="E142" s="61"/>
      <c r="F142" s="61"/>
      <c r="G142" s="61"/>
      <c r="H142" s="61"/>
      <c r="I142" s="61"/>
      <c r="J142" s="61"/>
      <c r="K142" s="61"/>
      <c r="L142" s="61"/>
      <c r="M142" s="61"/>
      <c r="N142" s="61"/>
      <c r="O142" s="63"/>
      <c r="P142" s="63"/>
      <c r="Q142" s="63"/>
      <c r="R142" s="63"/>
      <c r="S142" s="63"/>
    </row>
    <row r="143" spans="1:19" ht="12.75">
      <c r="A143" s="35">
        <v>9210491100</v>
      </c>
      <c r="B143" s="6" t="s">
        <v>172</v>
      </c>
      <c r="C143" s="6" t="s">
        <v>139</v>
      </c>
      <c r="D143" s="7" t="s">
        <v>7</v>
      </c>
      <c r="E143" s="59">
        <v>21750</v>
      </c>
      <c r="F143" s="60">
        <v>7250</v>
      </c>
      <c r="G143" s="60">
        <v>7250</v>
      </c>
      <c r="H143" s="59">
        <v>21750</v>
      </c>
      <c r="I143" s="60">
        <v>4605</v>
      </c>
      <c r="J143" s="60">
        <v>4605</v>
      </c>
      <c r="K143" s="59">
        <v>23025</v>
      </c>
      <c r="L143" s="60">
        <v>2958</v>
      </c>
      <c r="M143" s="60">
        <v>2958</v>
      </c>
      <c r="N143" s="59">
        <v>26622</v>
      </c>
      <c r="O143" s="62">
        <v>15543.599999999999</v>
      </c>
      <c r="P143" s="62">
        <v>16165.343999999999</v>
      </c>
      <c r="Q143" s="62">
        <v>16787.088</v>
      </c>
      <c r="R143" s="62">
        <v>17408.831999999999</v>
      </c>
      <c r="S143" s="62">
        <v>18030.575999999997</v>
      </c>
    </row>
    <row r="144" spans="1:19" ht="12.75">
      <c r="A144" s="35">
        <v>9210501100</v>
      </c>
      <c r="B144" s="6" t="s">
        <v>173</v>
      </c>
      <c r="C144" s="6" t="s">
        <v>140</v>
      </c>
      <c r="D144" s="7" t="s">
        <v>7</v>
      </c>
      <c r="E144" s="59">
        <v>21750</v>
      </c>
      <c r="F144" s="60">
        <v>7250</v>
      </c>
      <c r="G144" s="60">
        <v>7250</v>
      </c>
      <c r="H144" s="59">
        <v>21750</v>
      </c>
      <c r="I144" s="60">
        <v>4605</v>
      </c>
      <c r="J144" s="60">
        <v>4605</v>
      </c>
      <c r="K144" s="59">
        <v>23025</v>
      </c>
      <c r="L144" s="60">
        <v>2958</v>
      </c>
      <c r="M144" s="60">
        <v>2958</v>
      </c>
      <c r="N144" s="59">
        <v>26622</v>
      </c>
      <c r="O144" s="62">
        <v>15543.599999999999</v>
      </c>
      <c r="P144" s="62">
        <v>16165.343999999999</v>
      </c>
      <c r="Q144" s="62">
        <v>16787.088</v>
      </c>
      <c r="R144" s="62">
        <v>17408.831999999999</v>
      </c>
      <c r="S144" s="62">
        <v>18030.575999999997</v>
      </c>
    </row>
    <row r="145" spans="1:19" ht="12.75">
      <c r="A145" s="29"/>
      <c r="B145" s="30" t="s">
        <v>30</v>
      </c>
      <c r="C145" s="29"/>
      <c r="D145" s="31"/>
      <c r="E145" s="61"/>
      <c r="F145" s="61"/>
      <c r="G145" s="61"/>
      <c r="H145" s="61"/>
      <c r="I145" s="61"/>
      <c r="J145" s="61"/>
      <c r="K145" s="61"/>
      <c r="L145" s="61"/>
      <c r="M145" s="61"/>
      <c r="N145" s="61"/>
      <c r="O145" s="63"/>
      <c r="P145" s="63"/>
      <c r="Q145" s="63"/>
      <c r="R145" s="63"/>
      <c r="S145" s="63"/>
    </row>
    <row r="146" spans="1:19" ht="12.75">
      <c r="A146" s="35">
        <v>9210871100</v>
      </c>
      <c r="B146" s="6" t="s">
        <v>141</v>
      </c>
      <c r="C146" s="6" t="s">
        <v>142</v>
      </c>
      <c r="D146" s="7" t="s">
        <v>7</v>
      </c>
      <c r="E146" s="59">
        <v>51870</v>
      </c>
      <c r="F146" s="60">
        <v>17290</v>
      </c>
      <c r="G146" s="60">
        <v>17290</v>
      </c>
      <c r="H146" s="59">
        <v>51870</v>
      </c>
      <c r="I146" s="60">
        <v>10980</v>
      </c>
      <c r="J146" s="60">
        <v>10980</v>
      </c>
      <c r="K146" s="59">
        <v>54900</v>
      </c>
      <c r="L146" s="60">
        <v>7053</v>
      </c>
      <c r="M146" s="60">
        <v>7053</v>
      </c>
      <c r="N146" s="59">
        <v>63477</v>
      </c>
      <c r="O146" s="62">
        <v>37059.599999999999</v>
      </c>
      <c r="P146" s="62">
        <v>38541.983999999997</v>
      </c>
      <c r="Q146" s="62">
        <v>40024.368000000002</v>
      </c>
      <c r="R146" s="62">
        <v>41506.752</v>
      </c>
      <c r="S146" s="62">
        <v>42989.135999999999</v>
      </c>
    </row>
    <row r="147" spans="1:19" ht="12.75">
      <c r="A147" s="8">
        <v>8862281100</v>
      </c>
      <c r="B147" s="6" t="s">
        <v>104</v>
      </c>
      <c r="C147" s="6" t="s">
        <v>105</v>
      </c>
      <c r="D147" s="7" t="s">
        <v>89</v>
      </c>
      <c r="E147" s="59">
        <v>55650</v>
      </c>
      <c r="F147" s="60">
        <v>18550</v>
      </c>
      <c r="G147" s="60">
        <v>18550</v>
      </c>
      <c r="H147" s="59">
        <v>55650</v>
      </c>
      <c r="I147" s="60">
        <v>11779</v>
      </c>
      <c r="J147" s="60">
        <v>11779</v>
      </c>
      <c r="K147" s="59">
        <v>58895</v>
      </c>
      <c r="L147" s="60">
        <v>7567</v>
      </c>
      <c r="M147" s="60">
        <v>7567</v>
      </c>
      <c r="N147" s="59">
        <v>68103</v>
      </c>
      <c r="O147" s="62">
        <v>39759.599999999999</v>
      </c>
      <c r="P147" s="62">
        <v>41349.983999999997</v>
      </c>
      <c r="Q147" s="62">
        <v>42940.368000000002</v>
      </c>
      <c r="R147" s="62">
        <v>44530.752</v>
      </c>
      <c r="S147" s="62">
        <v>46121.135999999999</v>
      </c>
    </row>
    <row r="148" spans="1:19" ht="12.75">
      <c r="A148" s="11">
        <v>7706330103</v>
      </c>
      <c r="B148" s="6" t="s">
        <v>315</v>
      </c>
      <c r="C148" s="6" t="s">
        <v>147</v>
      </c>
      <c r="D148" s="7" t="s">
        <v>51</v>
      </c>
      <c r="E148" s="59">
        <v>64830</v>
      </c>
      <c r="F148" s="60">
        <v>21610</v>
      </c>
      <c r="G148" s="60">
        <v>21610</v>
      </c>
      <c r="H148" s="59">
        <v>64830</v>
      </c>
      <c r="I148" s="60">
        <v>13726</v>
      </c>
      <c r="J148" s="60">
        <v>13726</v>
      </c>
      <c r="K148" s="59">
        <v>68630</v>
      </c>
      <c r="L148" s="60">
        <v>8818</v>
      </c>
      <c r="M148" s="60">
        <v>8818</v>
      </c>
      <c r="N148" s="59">
        <v>79362</v>
      </c>
      <c r="O148" s="62">
        <v>46330.799999999996</v>
      </c>
      <c r="P148" s="62">
        <v>48184.031999999999</v>
      </c>
      <c r="Q148" s="62">
        <v>50037.263999999996</v>
      </c>
      <c r="R148" s="62">
        <v>51890.495999999999</v>
      </c>
      <c r="S148" s="62">
        <v>53743.727999999988</v>
      </c>
    </row>
    <row r="149" spans="1:19" ht="12.75">
      <c r="A149" s="29"/>
      <c r="B149" s="30" t="s">
        <v>31</v>
      </c>
      <c r="C149" s="29"/>
      <c r="D149" s="31"/>
      <c r="E149" s="61"/>
      <c r="F149" s="61"/>
      <c r="G149" s="61"/>
      <c r="H149" s="61"/>
      <c r="I149" s="61"/>
      <c r="J149" s="61"/>
      <c r="K149" s="61"/>
      <c r="L149" s="61"/>
      <c r="M149" s="61"/>
      <c r="N149" s="61"/>
      <c r="O149" s="63"/>
      <c r="P149" s="63"/>
      <c r="Q149" s="63"/>
      <c r="R149" s="63"/>
      <c r="S149" s="63"/>
    </row>
    <row r="150" spans="1:19" ht="12.75">
      <c r="A150" s="8">
        <v>9209871100</v>
      </c>
      <c r="B150" s="6" t="s">
        <v>115</v>
      </c>
      <c r="C150" s="6" t="s">
        <v>116</v>
      </c>
      <c r="D150" s="7" t="s">
        <v>80</v>
      </c>
      <c r="E150" s="59">
        <v>6270</v>
      </c>
      <c r="F150" s="60">
        <v>2090</v>
      </c>
      <c r="G150" s="60">
        <v>2090</v>
      </c>
      <c r="H150" s="59">
        <v>6270</v>
      </c>
      <c r="I150" s="60">
        <v>1327</v>
      </c>
      <c r="J150" s="60">
        <v>1327</v>
      </c>
      <c r="K150" s="59">
        <v>6635</v>
      </c>
      <c r="L150" s="60">
        <v>853</v>
      </c>
      <c r="M150" s="60">
        <v>853</v>
      </c>
      <c r="N150" s="59">
        <v>7677</v>
      </c>
      <c r="O150" s="62">
        <v>4587.5999999999995</v>
      </c>
      <c r="P150" s="62">
        <v>4771.1039999999994</v>
      </c>
      <c r="Q150" s="62">
        <v>4954.6080000000002</v>
      </c>
      <c r="R150" s="62">
        <v>5138.1120000000001</v>
      </c>
      <c r="S150" s="62">
        <v>5321.6159999999991</v>
      </c>
    </row>
    <row r="151" spans="1:19" ht="12.75">
      <c r="A151" s="8">
        <v>9209881100</v>
      </c>
      <c r="B151" s="6" t="s">
        <v>117</v>
      </c>
      <c r="C151" s="6" t="s">
        <v>118</v>
      </c>
      <c r="D151" s="7" t="s">
        <v>80</v>
      </c>
      <c r="E151" s="59">
        <v>6270</v>
      </c>
      <c r="F151" s="60">
        <v>2090</v>
      </c>
      <c r="G151" s="60">
        <v>2090</v>
      </c>
      <c r="H151" s="59">
        <v>6270</v>
      </c>
      <c r="I151" s="60">
        <v>1327</v>
      </c>
      <c r="J151" s="60">
        <v>1327</v>
      </c>
      <c r="K151" s="59">
        <v>6635</v>
      </c>
      <c r="L151" s="60">
        <v>853</v>
      </c>
      <c r="M151" s="60">
        <v>853</v>
      </c>
      <c r="N151" s="59">
        <v>7677</v>
      </c>
      <c r="O151" s="62">
        <v>4587.5999999999995</v>
      </c>
      <c r="P151" s="62">
        <v>4771.1039999999994</v>
      </c>
      <c r="Q151" s="62">
        <v>4954.6080000000002</v>
      </c>
      <c r="R151" s="62">
        <v>5138.1120000000001</v>
      </c>
      <c r="S151" s="62">
        <v>5321.6159999999991</v>
      </c>
    </row>
    <row r="152" spans="1:19" ht="12.75">
      <c r="A152" s="8">
        <v>9209861100</v>
      </c>
      <c r="B152" s="6" t="s">
        <v>119</v>
      </c>
      <c r="C152" s="6" t="s">
        <v>120</v>
      </c>
      <c r="D152" s="7" t="s">
        <v>80</v>
      </c>
      <c r="E152" s="59">
        <v>6270</v>
      </c>
      <c r="F152" s="60">
        <v>2090</v>
      </c>
      <c r="G152" s="60">
        <v>2090</v>
      </c>
      <c r="H152" s="59">
        <v>6270</v>
      </c>
      <c r="I152" s="60">
        <v>1327</v>
      </c>
      <c r="J152" s="60">
        <v>1327</v>
      </c>
      <c r="K152" s="59">
        <v>6635</v>
      </c>
      <c r="L152" s="60">
        <v>853</v>
      </c>
      <c r="M152" s="60">
        <v>853</v>
      </c>
      <c r="N152" s="59">
        <v>7677</v>
      </c>
      <c r="O152" s="62">
        <v>4587.5999999999995</v>
      </c>
      <c r="P152" s="62">
        <v>4771.1039999999994</v>
      </c>
      <c r="Q152" s="62">
        <v>4954.6080000000002</v>
      </c>
      <c r="R152" s="62">
        <v>5138.1120000000001</v>
      </c>
      <c r="S152" s="62">
        <v>5321.6159999999991</v>
      </c>
    </row>
    <row r="153" spans="1:19" ht="12.75">
      <c r="A153" s="8">
        <v>9209891100</v>
      </c>
      <c r="B153" s="6" t="s">
        <v>121</v>
      </c>
      <c r="C153" s="6" t="s">
        <v>122</v>
      </c>
      <c r="D153" s="7" t="s">
        <v>80</v>
      </c>
      <c r="E153" s="59">
        <v>6270</v>
      </c>
      <c r="F153" s="60">
        <v>2090</v>
      </c>
      <c r="G153" s="60">
        <v>2090</v>
      </c>
      <c r="H153" s="59">
        <v>6270</v>
      </c>
      <c r="I153" s="60">
        <v>1327</v>
      </c>
      <c r="J153" s="60">
        <v>1327</v>
      </c>
      <c r="K153" s="59">
        <v>6635</v>
      </c>
      <c r="L153" s="60">
        <v>853</v>
      </c>
      <c r="M153" s="60">
        <v>853</v>
      </c>
      <c r="N153" s="59">
        <v>7677</v>
      </c>
      <c r="O153" s="62">
        <v>4587.5999999999995</v>
      </c>
      <c r="P153" s="62">
        <v>4771.1039999999994</v>
      </c>
      <c r="Q153" s="62">
        <v>4954.6080000000002</v>
      </c>
      <c r="R153" s="62">
        <v>5138.1120000000001</v>
      </c>
      <c r="S153" s="62">
        <v>5321.6159999999991</v>
      </c>
    </row>
    <row r="154" spans="1:19" ht="12.75">
      <c r="A154" s="8">
        <v>9210511100</v>
      </c>
      <c r="B154" s="6" t="s">
        <v>130</v>
      </c>
      <c r="C154" s="6" t="s">
        <v>131</v>
      </c>
      <c r="D154" s="7" t="s">
        <v>80</v>
      </c>
      <c r="E154" s="59">
        <v>8910</v>
      </c>
      <c r="F154" s="60">
        <v>2970</v>
      </c>
      <c r="G154" s="60">
        <v>2970</v>
      </c>
      <c r="H154" s="59">
        <v>8910</v>
      </c>
      <c r="I154" s="60">
        <v>1885</v>
      </c>
      <c r="J154" s="60">
        <v>1885</v>
      </c>
      <c r="K154" s="59">
        <v>9425</v>
      </c>
      <c r="L154" s="60">
        <v>1212</v>
      </c>
      <c r="M154" s="60">
        <v>1212</v>
      </c>
      <c r="N154" s="59">
        <v>10908</v>
      </c>
      <c r="O154" s="62">
        <v>6517.2</v>
      </c>
      <c r="P154" s="62">
        <v>6777.8879999999999</v>
      </c>
      <c r="Q154" s="62">
        <v>7038.576</v>
      </c>
      <c r="R154" s="62">
        <v>7299.2640000000001</v>
      </c>
      <c r="S154" s="62">
        <v>7559.9519999999993</v>
      </c>
    </row>
    <row r="155" spans="1:19" ht="12.75">
      <c r="A155" s="8">
        <v>9210521100</v>
      </c>
      <c r="B155" s="6" t="s">
        <v>132</v>
      </c>
      <c r="C155" s="6" t="s">
        <v>133</v>
      </c>
      <c r="D155" s="7" t="s">
        <v>80</v>
      </c>
      <c r="E155" s="59">
        <v>8910</v>
      </c>
      <c r="F155" s="60">
        <v>2970</v>
      </c>
      <c r="G155" s="60">
        <v>2970</v>
      </c>
      <c r="H155" s="59">
        <v>8910</v>
      </c>
      <c r="I155" s="60">
        <v>1885</v>
      </c>
      <c r="J155" s="60">
        <v>1885</v>
      </c>
      <c r="K155" s="59">
        <v>9425</v>
      </c>
      <c r="L155" s="60">
        <v>1212</v>
      </c>
      <c r="M155" s="60">
        <v>1212</v>
      </c>
      <c r="N155" s="59">
        <v>10908</v>
      </c>
      <c r="O155" s="62">
        <v>6517.2</v>
      </c>
      <c r="P155" s="62">
        <v>6777.8879999999999</v>
      </c>
      <c r="Q155" s="62">
        <v>7038.576</v>
      </c>
      <c r="R155" s="62">
        <v>7299.2640000000001</v>
      </c>
      <c r="S155" s="62">
        <v>7559.9519999999993</v>
      </c>
    </row>
    <row r="156" spans="1:19" ht="12.75">
      <c r="A156" s="8">
        <v>9210531100</v>
      </c>
      <c r="B156" s="6" t="s">
        <v>134</v>
      </c>
      <c r="C156" s="6" t="s">
        <v>135</v>
      </c>
      <c r="D156" s="7" t="s">
        <v>80</v>
      </c>
      <c r="E156" s="59">
        <v>8910</v>
      </c>
      <c r="F156" s="60">
        <v>2970</v>
      </c>
      <c r="G156" s="60">
        <v>2970</v>
      </c>
      <c r="H156" s="59">
        <v>8910</v>
      </c>
      <c r="I156" s="60">
        <v>1885</v>
      </c>
      <c r="J156" s="60">
        <v>1885</v>
      </c>
      <c r="K156" s="59">
        <v>9425</v>
      </c>
      <c r="L156" s="60">
        <v>1212</v>
      </c>
      <c r="M156" s="60">
        <v>1212</v>
      </c>
      <c r="N156" s="59">
        <v>10908</v>
      </c>
      <c r="O156" s="62">
        <v>6517.2</v>
      </c>
      <c r="P156" s="62">
        <v>6777.8879999999999</v>
      </c>
      <c r="Q156" s="62">
        <v>7038.576</v>
      </c>
      <c r="R156" s="62">
        <v>7299.2640000000001</v>
      </c>
      <c r="S156" s="62">
        <v>7559.9519999999993</v>
      </c>
    </row>
    <row r="157" spans="1:19" ht="12.75">
      <c r="A157" s="8">
        <v>9202141100</v>
      </c>
      <c r="B157" s="6" t="s">
        <v>174</v>
      </c>
      <c r="C157" s="6" t="s">
        <v>155</v>
      </c>
      <c r="D157" s="7" t="s">
        <v>7</v>
      </c>
      <c r="E157" s="59">
        <v>6960</v>
      </c>
      <c r="F157" s="60">
        <v>2320</v>
      </c>
      <c r="G157" s="60">
        <v>2320</v>
      </c>
      <c r="H157" s="59">
        <v>6960</v>
      </c>
      <c r="I157" s="60">
        <v>1473</v>
      </c>
      <c r="J157" s="60">
        <v>1473</v>
      </c>
      <c r="K157" s="59">
        <v>7365</v>
      </c>
      <c r="L157" s="60">
        <v>947</v>
      </c>
      <c r="M157" s="60">
        <v>947</v>
      </c>
      <c r="N157" s="59">
        <v>8523</v>
      </c>
      <c r="O157" s="62">
        <v>5094</v>
      </c>
      <c r="P157" s="62">
        <v>5297.76</v>
      </c>
      <c r="Q157" s="62">
        <v>5501.52</v>
      </c>
      <c r="R157" s="62">
        <v>5705.2800000000007</v>
      </c>
      <c r="S157" s="62">
        <v>5909.04</v>
      </c>
    </row>
    <row r="158" spans="1:19" ht="12.75">
      <c r="A158" s="29"/>
      <c r="B158" s="30" t="s">
        <v>32</v>
      </c>
      <c r="C158" s="29"/>
      <c r="D158" s="31"/>
      <c r="E158" s="61"/>
      <c r="F158" s="61"/>
      <c r="G158" s="61"/>
      <c r="H158" s="61"/>
      <c r="I158" s="61"/>
      <c r="J158" s="61"/>
      <c r="K158" s="61"/>
      <c r="L158" s="61"/>
      <c r="M158" s="61"/>
      <c r="N158" s="61"/>
      <c r="O158" s="63"/>
      <c r="P158" s="63"/>
      <c r="Q158" s="63"/>
      <c r="R158" s="63"/>
      <c r="S158" s="63"/>
    </row>
    <row r="159" spans="1:19" ht="12.75">
      <c r="A159" s="8">
        <v>8808861100</v>
      </c>
      <c r="B159" s="6" t="s">
        <v>240</v>
      </c>
      <c r="C159" s="6" t="s">
        <v>106</v>
      </c>
      <c r="D159" s="7" t="s">
        <v>86</v>
      </c>
      <c r="E159" s="59">
        <v>10350</v>
      </c>
      <c r="F159" s="60">
        <v>3450</v>
      </c>
      <c r="G159" s="60">
        <v>3450</v>
      </c>
      <c r="H159" s="59">
        <v>10350</v>
      </c>
      <c r="I159" s="60">
        <v>2195</v>
      </c>
      <c r="J159" s="60">
        <v>2195</v>
      </c>
      <c r="K159" s="59">
        <v>10975</v>
      </c>
      <c r="L159" s="60">
        <v>1411</v>
      </c>
      <c r="M159" s="60">
        <v>1411</v>
      </c>
      <c r="N159" s="59">
        <v>12699</v>
      </c>
      <c r="O159" s="62">
        <v>7588.7999999999993</v>
      </c>
      <c r="P159" s="62">
        <v>7892.3519999999999</v>
      </c>
      <c r="Q159" s="62">
        <v>8195.9040000000005</v>
      </c>
      <c r="R159" s="62">
        <v>8499.4560000000001</v>
      </c>
      <c r="S159" s="62">
        <v>8803.007999999998</v>
      </c>
    </row>
    <row r="160" spans="1:19" ht="12.75">
      <c r="A160" s="8">
        <v>8808871100</v>
      </c>
      <c r="B160" s="6" t="s">
        <v>241</v>
      </c>
      <c r="C160" s="6" t="s">
        <v>107</v>
      </c>
      <c r="D160" s="7" t="s">
        <v>86</v>
      </c>
      <c r="E160" s="59">
        <v>11490</v>
      </c>
      <c r="F160" s="60">
        <v>3830</v>
      </c>
      <c r="G160" s="60">
        <v>3830</v>
      </c>
      <c r="H160" s="59">
        <v>11490</v>
      </c>
      <c r="I160" s="60">
        <v>2435</v>
      </c>
      <c r="J160" s="60">
        <v>2435</v>
      </c>
      <c r="K160" s="59">
        <v>12175</v>
      </c>
      <c r="L160" s="60">
        <v>1565</v>
      </c>
      <c r="M160" s="60">
        <v>1565</v>
      </c>
      <c r="N160" s="59">
        <v>14085</v>
      </c>
      <c r="O160" s="62">
        <v>8418</v>
      </c>
      <c r="P160" s="62">
        <v>8754.7200000000012</v>
      </c>
      <c r="Q160" s="62">
        <v>9091.44</v>
      </c>
      <c r="R160" s="62">
        <v>9428.1600000000017</v>
      </c>
      <c r="S160" s="62">
        <v>9764.8799999999992</v>
      </c>
    </row>
    <row r="161" spans="1:19" ht="12.75">
      <c r="A161" s="35">
        <v>9217831100</v>
      </c>
      <c r="B161" s="6" t="s">
        <v>245</v>
      </c>
      <c r="C161" s="6" t="s">
        <v>246</v>
      </c>
      <c r="D161" s="7" t="s">
        <v>86</v>
      </c>
      <c r="E161" s="59">
        <v>9510</v>
      </c>
      <c r="F161" s="60">
        <v>3170</v>
      </c>
      <c r="G161" s="60">
        <v>3170</v>
      </c>
      <c r="H161" s="59">
        <v>9510</v>
      </c>
      <c r="I161" s="60">
        <v>2017</v>
      </c>
      <c r="J161" s="60">
        <v>2017</v>
      </c>
      <c r="K161" s="59">
        <v>10085</v>
      </c>
      <c r="L161" s="60">
        <v>1296</v>
      </c>
      <c r="M161" s="60">
        <v>1296</v>
      </c>
      <c r="N161" s="59">
        <v>11664</v>
      </c>
      <c r="O161" s="62">
        <v>6970.8</v>
      </c>
      <c r="P161" s="62">
        <v>7249.6320000000005</v>
      </c>
      <c r="Q161" s="62">
        <v>7528.4640000000009</v>
      </c>
      <c r="R161" s="62">
        <v>7807.2960000000012</v>
      </c>
      <c r="S161" s="62">
        <v>8086.1279999999997</v>
      </c>
    </row>
    <row r="162" spans="1:19" ht="12.75">
      <c r="A162" s="35">
        <v>9217841100</v>
      </c>
      <c r="B162" s="6" t="s">
        <v>247</v>
      </c>
      <c r="C162" s="6" t="s">
        <v>248</v>
      </c>
      <c r="D162" s="7" t="s">
        <v>86</v>
      </c>
      <c r="E162" s="59">
        <v>10590</v>
      </c>
      <c r="F162" s="60">
        <v>3530</v>
      </c>
      <c r="G162" s="60">
        <v>3530</v>
      </c>
      <c r="H162" s="59">
        <v>10590</v>
      </c>
      <c r="I162" s="60">
        <v>2242</v>
      </c>
      <c r="J162" s="60">
        <v>2242</v>
      </c>
      <c r="K162" s="59">
        <v>11210</v>
      </c>
      <c r="L162" s="60">
        <v>1441</v>
      </c>
      <c r="M162" s="60">
        <v>1441</v>
      </c>
      <c r="N162" s="59">
        <v>12969</v>
      </c>
      <c r="O162" s="62">
        <v>7749.5999999999995</v>
      </c>
      <c r="P162" s="62">
        <v>8059.5839999999998</v>
      </c>
      <c r="Q162" s="62">
        <v>8369.5679999999993</v>
      </c>
      <c r="R162" s="62">
        <v>8679.5519999999997</v>
      </c>
      <c r="S162" s="62">
        <v>8989.5359999999982</v>
      </c>
    </row>
    <row r="163" spans="1:19" ht="12.75">
      <c r="A163" s="3"/>
      <c r="B163" s="2" t="s">
        <v>178</v>
      </c>
      <c r="C163" s="3"/>
    </row>
    <row r="164" spans="1:19" ht="15">
      <c r="A164" s="44">
        <v>7763670141</v>
      </c>
      <c r="B164" s="45" t="s">
        <v>179</v>
      </c>
      <c r="C164" s="27" t="s">
        <v>180</v>
      </c>
      <c r="E164" s="24">
        <v>15120</v>
      </c>
      <c r="F164" s="57">
        <v>5040</v>
      </c>
      <c r="G164" s="57">
        <v>5040</v>
      </c>
      <c r="H164" s="55">
        <v>15120</v>
      </c>
      <c r="I164" s="57">
        <v>3215</v>
      </c>
      <c r="J164" s="57">
        <v>3215</v>
      </c>
      <c r="K164" s="55">
        <v>16075</v>
      </c>
      <c r="L164" s="57">
        <v>1894</v>
      </c>
      <c r="M164" s="57">
        <v>1894</v>
      </c>
      <c r="N164" s="55">
        <v>17046</v>
      </c>
      <c r="O164" s="50"/>
      <c r="P164" s="50"/>
      <c r="Q164" s="50"/>
      <c r="R164" s="50"/>
      <c r="S164" s="50"/>
    </row>
    <row r="165" spans="1:19" ht="15">
      <c r="A165" s="44">
        <v>7763670143</v>
      </c>
      <c r="B165" s="45" t="s">
        <v>181</v>
      </c>
      <c r="C165" s="27" t="s">
        <v>182</v>
      </c>
      <c r="E165" s="24">
        <v>15120</v>
      </c>
      <c r="F165" s="57">
        <v>5040</v>
      </c>
      <c r="G165" s="57">
        <v>5040</v>
      </c>
      <c r="H165" s="55">
        <v>15120</v>
      </c>
      <c r="I165" s="57">
        <v>3215</v>
      </c>
      <c r="J165" s="57">
        <v>3215</v>
      </c>
      <c r="K165" s="55">
        <v>16075</v>
      </c>
      <c r="L165" s="57">
        <v>1894</v>
      </c>
      <c r="M165" s="57">
        <v>1894</v>
      </c>
      <c r="N165" s="55">
        <v>17046</v>
      </c>
      <c r="O165" s="50"/>
      <c r="P165" s="50"/>
      <c r="Q165" s="50"/>
      <c r="R165" s="50"/>
      <c r="S165" s="50"/>
    </row>
    <row r="166" spans="1:19" ht="15">
      <c r="A166" s="44">
        <v>7763670142</v>
      </c>
      <c r="B166" s="45" t="s">
        <v>183</v>
      </c>
      <c r="C166" s="27" t="s">
        <v>184</v>
      </c>
      <c r="E166" s="24">
        <v>15120</v>
      </c>
      <c r="F166" s="57">
        <v>5040</v>
      </c>
      <c r="G166" s="57">
        <v>5040</v>
      </c>
      <c r="H166" s="55">
        <v>15120</v>
      </c>
      <c r="I166" s="57">
        <v>3215</v>
      </c>
      <c r="J166" s="57">
        <v>3215</v>
      </c>
      <c r="K166" s="55">
        <v>16075</v>
      </c>
      <c r="L166" s="57">
        <v>1894</v>
      </c>
      <c r="M166" s="57">
        <v>1894</v>
      </c>
      <c r="N166" s="55">
        <v>17046</v>
      </c>
      <c r="O166" s="50"/>
      <c r="P166" s="50"/>
      <c r="Q166" s="50"/>
      <c r="R166" s="50"/>
      <c r="S166" s="50"/>
    </row>
    <row r="167" spans="1:19" ht="15">
      <c r="A167" s="42">
        <v>7763670187</v>
      </c>
      <c r="B167" s="43" t="s">
        <v>262</v>
      </c>
      <c r="C167" s="27" t="s">
        <v>265</v>
      </c>
      <c r="E167" s="24">
        <v>15120</v>
      </c>
      <c r="F167" s="57">
        <v>5040</v>
      </c>
      <c r="G167" s="57">
        <v>5040</v>
      </c>
      <c r="H167" s="55">
        <v>15120</v>
      </c>
      <c r="I167" s="57">
        <v>3215</v>
      </c>
      <c r="J167" s="57">
        <v>3215</v>
      </c>
      <c r="K167" s="55">
        <v>16075</v>
      </c>
      <c r="L167" s="57">
        <v>1894</v>
      </c>
      <c r="M167" s="57">
        <v>1894</v>
      </c>
      <c r="N167" s="55">
        <v>17046</v>
      </c>
      <c r="O167" s="49">
        <v>11482.8</v>
      </c>
      <c r="P167" s="49">
        <v>11942.111999999999</v>
      </c>
      <c r="Q167" s="49">
        <v>12401.424000000001</v>
      </c>
      <c r="R167" s="49">
        <v>12860.736000000001</v>
      </c>
      <c r="S167" s="49">
        <v>13320.047999999999</v>
      </c>
    </row>
    <row r="168" spans="1:19" ht="15">
      <c r="A168" s="42">
        <v>7763670194</v>
      </c>
      <c r="B168" s="43" t="s">
        <v>263</v>
      </c>
      <c r="C168" s="27" t="s">
        <v>266</v>
      </c>
      <c r="E168" s="24">
        <v>15120</v>
      </c>
      <c r="F168" s="57">
        <v>5040</v>
      </c>
      <c r="G168" s="57">
        <v>5040</v>
      </c>
      <c r="H168" s="55">
        <v>15120</v>
      </c>
      <c r="I168" s="57">
        <v>3215</v>
      </c>
      <c r="J168" s="57">
        <v>3215</v>
      </c>
      <c r="K168" s="55">
        <v>16075</v>
      </c>
      <c r="L168" s="57">
        <v>1894</v>
      </c>
      <c r="M168" s="57">
        <v>1894</v>
      </c>
      <c r="N168" s="55">
        <v>17046</v>
      </c>
      <c r="O168" s="49">
        <v>11482.8</v>
      </c>
      <c r="P168" s="49">
        <v>11942.111999999999</v>
      </c>
      <c r="Q168" s="49">
        <v>12401.424000000001</v>
      </c>
      <c r="R168" s="49">
        <v>12860.736000000001</v>
      </c>
      <c r="S168" s="49">
        <v>13320.047999999999</v>
      </c>
    </row>
    <row r="169" spans="1:19" ht="15">
      <c r="A169" s="42">
        <v>7763670193</v>
      </c>
      <c r="B169" s="43" t="s">
        <v>264</v>
      </c>
      <c r="C169" s="27" t="s">
        <v>267</v>
      </c>
      <c r="E169" s="24">
        <v>15120</v>
      </c>
      <c r="F169" s="57">
        <v>5040</v>
      </c>
      <c r="G169" s="57">
        <v>5040</v>
      </c>
      <c r="H169" s="55">
        <v>15120</v>
      </c>
      <c r="I169" s="57">
        <v>3215</v>
      </c>
      <c r="J169" s="57">
        <v>3215</v>
      </c>
      <c r="K169" s="55">
        <v>16075</v>
      </c>
      <c r="L169" s="57">
        <v>1894</v>
      </c>
      <c r="M169" s="57">
        <v>1894</v>
      </c>
      <c r="N169" s="55">
        <v>17046</v>
      </c>
      <c r="O169" s="49">
        <v>11482.8</v>
      </c>
      <c r="P169" s="49">
        <v>11942.111999999999</v>
      </c>
      <c r="Q169" s="49">
        <v>12401.424000000001</v>
      </c>
      <c r="R169" s="49">
        <v>12860.736000000001</v>
      </c>
      <c r="S169" s="49">
        <v>13320.047999999999</v>
      </c>
    </row>
    <row r="170" spans="1:19" ht="15">
      <c r="A170" s="25">
        <v>7790320101</v>
      </c>
      <c r="B170" s="26" t="s">
        <v>185</v>
      </c>
      <c r="C170" s="27" t="s">
        <v>186</v>
      </c>
      <c r="E170" s="24">
        <v>14700</v>
      </c>
      <c r="F170" s="57">
        <v>4900</v>
      </c>
      <c r="G170" s="57">
        <v>4900</v>
      </c>
      <c r="H170" s="55">
        <v>14700</v>
      </c>
      <c r="I170" s="57">
        <v>3125</v>
      </c>
      <c r="J170" s="57">
        <v>3125</v>
      </c>
      <c r="K170" s="55">
        <v>15625</v>
      </c>
      <c r="L170" s="57">
        <v>1842</v>
      </c>
      <c r="M170" s="57">
        <v>1842</v>
      </c>
      <c r="N170" s="55">
        <v>16578</v>
      </c>
      <c r="O170" s="49">
        <v>11162.4</v>
      </c>
      <c r="P170" s="49">
        <v>11608.896000000001</v>
      </c>
      <c r="Q170" s="49">
        <v>12055.392</v>
      </c>
      <c r="R170" s="49">
        <v>12501.888000000001</v>
      </c>
      <c r="S170" s="49">
        <v>12948.383999999998</v>
      </c>
    </row>
    <row r="171" spans="1:19" ht="15">
      <c r="A171" s="25">
        <v>7790320102</v>
      </c>
      <c r="B171" s="26" t="s">
        <v>187</v>
      </c>
      <c r="C171" s="27" t="s">
        <v>188</v>
      </c>
      <c r="E171" s="24">
        <v>12600</v>
      </c>
      <c r="F171" s="57">
        <v>4200</v>
      </c>
      <c r="G171" s="57">
        <v>4200</v>
      </c>
      <c r="H171" s="55">
        <v>12600</v>
      </c>
      <c r="I171" s="57">
        <v>2675</v>
      </c>
      <c r="J171" s="57">
        <v>2675</v>
      </c>
      <c r="K171" s="55">
        <v>13375</v>
      </c>
      <c r="L171" s="57">
        <v>1576</v>
      </c>
      <c r="M171" s="57">
        <v>1576</v>
      </c>
      <c r="N171" s="55">
        <v>14184</v>
      </c>
      <c r="O171" s="49">
        <v>9552</v>
      </c>
      <c r="P171" s="49">
        <v>9934.08</v>
      </c>
      <c r="Q171" s="49">
        <v>10316.16</v>
      </c>
      <c r="R171" s="49">
        <v>10698.240000000002</v>
      </c>
      <c r="S171" s="49">
        <v>11080.32</v>
      </c>
    </row>
    <row r="172" spans="1:19" ht="15">
      <c r="A172" s="25">
        <v>7790320103</v>
      </c>
      <c r="B172" s="26" t="s">
        <v>189</v>
      </c>
      <c r="C172" s="27" t="s">
        <v>190</v>
      </c>
      <c r="E172" s="24">
        <v>9000</v>
      </c>
      <c r="F172" s="57">
        <v>3000</v>
      </c>
      <c r="G172" s="57">
        <v>3000</v>
      </c>
      <c r="H172" s="55">
        <v>9000</v>
      </c>
      <c r="I172" s="57">
        <v>1914</v>
      </c>
      <c r="J172" s="57">
        <v>1914</v>
      </c>
      <c r="K172" s="55">
        <v>9570</v>
      </c>
      <c r="L172" s="57">
        <v>1128</v>
      </c>
      <c r="M172" s="57">
        <v>1128</v>
      </c>
      <c r="N172" s="55">
        <v>10152</v>
      </c>
      <c r="O172" s="49">
        <v>6836.4</v>
      </c>
      <c r="P172" s="49">
        <v>7109.8559999999998</v>
      </c>
      <c r="Q172" s="49">
        <v>7383.3119999999999</v>
      </c>
      <c r="R172" s="49">
        <v>7656.768</v>
      </c>
      <c r="S172" s="49">
        <v>7930.2239999999993</v>
      </c>
    </row>
    <row r="173" spans="1:19" ht="15">
      <c r="A173" s="25">
        <v>7790320105</v>
      </c>
      <c r="B173" s="26" t="s">
        <v>191</v>
      </c>
      <c r="C173" s="27" t="s">
        <v>192</v>
      </c>
      <c r="E173" s="24">
        <v>9540</v>
      </c>
      <c r="F173" s="57">
        <v>3180</v>
      </c>
      <c r="G173" s="57">
        <v>3180</v>
      </c>
      <c r="H173" s="55">
        <v>9540</v>
      </c>
      <c r="I173" s="57">
        <v>2027</v>
      </c>
      <c r="J173" s="57">
        <v>2027</v>
      </c>
      <c r="K173" s="55">
        <v>10135</v>
      </c>
      <c r="L173" s="57">
        <v>1195</v>
      </c>
      <c r="M173" s="57">
        <v>1195</v>
      </c>
      <c r="N173" s="55">
        <v>10755</v>
      </c>
      <c r="O173" s="49">
        <v>7240.8</v>
      </c>
      <c r="P173" s="49">
        <v>7530.4320000000007</v>
      </c>
      <c r="Q173" s="49">
        <v>7820.0640000000003</v>
      </c>
      <c r="R173" s="49">
        <v>8109.6960000000008</v>
      </c>
      <c r="S173" s="49">
        <v>8399.3279999999995</v>
      </c>
    </row>
    <row r="174" spans="1:19" ht="15">
      <c r="A174" s="25">
        <v>7768720101</v>
      </c>
      <c r="B174" s="26" t="s">
        <v>193</v>
      </c>
      <c r="C174" s="27" t="s">
        <v>194</v>
      </c>
      <c r="E174" s="24">
        <v>10260</v>
      </c>
      <c r="F174" s="57">
        <v>3420</v>
      </c>
      <c r="G174" s="57">
        <v>3420</v>
      </c>
      <c r="H174" s="55">
        <v>10260</v>
      </c>
      <c r="I174" s="57">
        <v>2179</v>
      </c>
      <c r="J174" s="57">
        <v>2179</v>
      </c>
      <c r="K174" s="55">
        <v>10895</v>
      </c>
      <c r="L174" s="57">
        <v>1284</v>
      </c>
      <c r="M174" s="57">
        <v>1284</v>
      </c>
      <c r="N174" s="55">
        <v>11556</v>
      </c>
      <c r="O174" s="50"/>
      <c r="P174" s="50"/>
      <c r="Q174" s="50"/>
      <c r="R174" s="50"/>
      <c r="S174" s="50"/>
    </row>
    <row r="175" spans="1:19" ht="15">
      <c r="A175" s="25">
        <v>8770791100</v>
      </c>
      <c r="B175" s="26" t="s">
        <v>195</v>
      </c>
      <c r="C175" s="27" t="s">
        <v>196</v>
      </c>
      <c r="E175" s="24">
        <v>5010</v>
      </c>
      <c r="F175" s="57">
        <v>1670</v>
      </c>
      <c r="G175" s="57">
        <v>1670</v>
      </c>
      <c r="H175" s="55">
        <v>5010</v>
      </c>
      <c r="I175" s="57">
        <v>1066</v>
      </c>
      <c r="J175" s="57">
        <v>1066</v>
      </c>
      <c r="K175" s="55">
        <v>5330</v>
      </c>
      <c r="L175" s="57">
        <v>628</v>
      </c>
      <c r="M175" s="57">
        <v>628</v>
      </c>
      <c r="N175" s="55">
        <v>5652</v>
      </c>
      <c r="O175" s="50"/>
      <c r="P175" s="50"/>
      <c r="Q175" s="50"/>
      <c r="R175" s="50"/>
      <c r="S175" s="50"/>
    </row>
    <row r="178" spans="1:1">
      <c r="A178" s="36"/>
    </row>
  </sheetData>
  <conditionalFormatting sqref="A4:A7">
    <cfRule type="expression" dxfId="19" priority="61" stopIfTrue="1">
      <formula>AND(COUNTIF(#REF!, A4)+COUNTIF(#REF!, A4)&gt;1,NOT(ISBLANK(A4)))</formula>
    </cfRule>
  </conditionalFormatting>
  <conditionalFormatting sqref="A8:A25">
    <cfRule type="duplicateValues" dxfId="18" priority="60"/>
  </conditionalFormatting>
  <conditionalFormatting sqref="A103">
    <cfRule type="duplicateValues" dxfId="17" priority="10"/>
  </conditionalFormatting>
  <conditionalFormatting sqref="A104">
    <cfRule type="duplicateValues" dxfId="16" priority="9"/>
  </conditionalFormatting>
  <conditionalFormatting sqref="A108">
    <cfRule type="duplicateValues" dxfId="15" priority="12"/>
  </conditionalFormatting>
  <conditionalFormatting sqref="A109:A110">
    <cfRule type="duplicateValues" dxfId="14" priority="6"/>
  </conditionalFormatting>
  <conditionalFormatting sqref="A113">
    <cfRule type="duplicateValues" dxfId="13" priority="5"/>
  </conditionalFormatting>
  <conditionalFormatting sqref="A114:A116">
    <cfRule type="duplicateValues" dxfId="12" priority="13"/>
  </conditionalFormatting>
  <conditionalFormatting sqref="A117">
    <cfRule type="duplicateValues" dxfId="11" priority="4"/>
  </conditionalFormatting>
  <conditionalFormatting sqref="A121">
    <cfRule type="duplicateValues" dxfId="10" priority="3"/>
  </conditionalFormatting>
  <conditionalFormatting sqref="A123">
    <cfRule type="duplicateValues" dxfId="9" priority="14"/>
  </conditionalFormatting>
  <conditionalFormatting sqref="A124">
    <cfRule type="duplicateValues" dxfId="8" priority="8"/>
  </conditionalFormatting>
  <conditionalFormatting sqref="A125">
    <cfRule type="duplicateValues" dxfId="7" priority="7"/>
  </conditionalFormatting>
  <conditionalFormatting sqref="A130">
    <cfRule type="duplicateValues" dxfId="6" priority="2"/>
  </conditionalFormatting>
  <conditionalFormatting sqref="A135">
    <cfRule type="duplicateValues" dxfId="5" priority="1"/>
  </conditionalFormatting>
  <conditionalFormatting sqref="A143:A144">
    <cfRule type="duplicateValues" dxfId="4" priority="16"/>
    <cfRule type="duplicateValues" dxfId="3" priority="17"/>
  </conditionalFormatting>
  <conditionalFormatting sqref="A146">
    <cfRule type="duplicateValues" dxfId="2" priority="18"/>
  </conditionalFormatting>
  <conditionalFormatting sqref="A148">
    <cfRule type="duplicateValues" dxfId="1" priority="15"/>
  </conditionalFormatting>
  <conditionalFormatting sqref="A161:A162">
    <cfRule type="duplicateValues" dxfId="0" priority="11"/>
  </conditionalFormatting>
  <pageMargins left="0.7" right="0.7" top="0.75" bottom="0.75" header="0.3" footer="0.3"/>
  <pageSetup paperSize="9" scale="30" orientation="portrait" r:id="rId1"/>
  <headerFooter>
    <oddFooter>&amp;L&amp;1#&amp;"Calibri"&amp;12&amp;KFF8C00Sensitivity: Public&amp;R&amp;1#&amp;"Calibri"&amp;12&amp;KFF8C00Sensitivity: Public</oddFooter>
  </headerFooter>
  <customProperties>
    <customPr name="_pios_id" r:id="rId2"/>
    <customPr name="EpmWorksheetKeyString_GUID" r:id="rId3"/>
  </customProperties>
  <legacy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B23D91-DC8F-45A4-987E-EEC07E6C5F20}">
  <sheetPr>
    <pageSetUpPr fitToPage="1"/>
  </sheetPr>
  <dimension ref="A1:I149"/>
  <sheetViews>
    <sheetView showGridLines="0" topLeftCell="E1" zoomScale="98" zoomScaleNormal="98" workbookViewId="0">
      <pane ySplit="1" topLeftCell="A2" activePane="bottomLeft" state="frozen"/>
      <selection activeCell="C188" sqref="C188"/>
      <selection pane="bottomLeft" activeCell="F31" sqref="F31"/>
    </sheetView>
  </sheetViews>
  <sheetFormatPr defaultColWidth="8.85546875" defaultRowHeight="12.75" outlineLevelCol="1"/>
  <cols>
    <col min="1" max="1" width="2.140625" style="64" hidden="1" customWidth="1"/>
    <col min="2" max="4" width="8" style="64" hidden="1" customWidth="1" outlineLevel="1"/>
    <col min="5" max="5" width="46.140625" style="65" customWidth="1" collapsed="1"/>
    <col min="6" max="6" width="68.85546875" style="64" customWidth="1" outlineLevel="1"/>
    <col min="7" max="7" width="15.140625" style="64" bestFit="1" customWidth="1"/>
    <col min="8" max="8" width="11.85546875" style="66" hidden="1" customWidth="1"/>
    <col min="9" max="9" width="12" style="66" customWidth="1"/>
    <col min="10" max="254" width="8.85546875" style="64"/>
    <col min="255" max="258" width="0" style="64" hidden="1" customWidth="1"/>
    <col min="259" max="259" width="13.42578125" style="64" customWidth="1"/>
    <col min="260" max="260" width="46.140625" style="64" customWidth="1"/>
    <col min="261" max="261" width="68.85546875" style="64" customWidth="1"/>
    <col min="262" max="262" width="15.140625" style="64" bestFit="1" customWidth="1"/>
    <col min="263" max="263" width="0" style="64" hidden="1" customWidth="1"/>
    <col min="264" max="264" width="12" style="64" customWidth="1"/>
    <col min="265" max="510" width="8.85546875" style="64"/>
    <col min="511" max="514" width="0" style="64" hidden="1" customWidth="1"/>
    <col min="515" max="515" width="13.42578125" style="64" customWidth="1"/>
    <col min="516" max="516" width="46.140625" style="64" customWidth="1"/>
    <col min="517" max="517" width="68.85546875" style="64" customWidth="1"/>
    <col min="518" max="518" width="15.140625" style="64" bestFit="1" customWidth="1"/>
    <col min="519" max="519" width="0" style="64" hidden="1" customWidth="1"/>
    <col min="520" max="520" width="12" style="64" customWidth="1"/>
    <col min="521" max="766" width="8.85546875" style="64"/>
    <col min="767" max="770" width="0" style="64" hidden="1" customWidth="1"/>
    <col min="771" max="771" width="13.42578125" style="64" customWidth="1"/>
    <col min="772" max="772" width="46.140625" style="64" customWidth="1"/>
    <col min="773" max="773" width="68.85546875" style="64" customWidth="1"/>
    <col min="774" max="774" width="15.140625" style="64" bestFit="1" customWidth="1"/>
    <col min="775" max="775" width="0" style="64" hidden="1" customWidth="1"/>
    <col min="776" max="776" width="12" style="64" customWidth="1"/>
    <col min="777" max="1022" width="8.85546875" style="64"/>
    <col min="1023" max="1026" width="0" style="64" hidden="1" customWidth="1"/>
    <col min="1027" max="1027" width="13.42578125" style="64" customWidth="1"/>
    <col min="1028" max="1028" width="46.140625" style="64" customWidth="1"/>
    <col min="1029" max="1029" width="68.85546875" style="64" customWidth="1"/>
    <col min="1030" max="1030" width="15.140625" style="64" bestFit="1" customWidth="1"/>
    <col min="1031" max="1031" width="0" style="64" hidden="1" customWidth="1"/>
    <col min="1032" max="1032" width="12" style="64" customWidth="1"/>
    <col min="1033" max="1278" width="8.85546875" style="64"/>
    <col min="1279" max="1282" width="0" style="64" hidden="1" customWidth="1"/>
    <col min="1283" max="1283" width="13.42578125" style="64" customWidth="1"/>
    <col min="1284" max="1284" width="46.140625" style="64" customWidth="1"/>
    <col min="1285" max="1285" width="68.85546875" style="64" customWidth="1"/>
    <col min="1286" max="1286" width="15.140625" style="64" bestFit="1" customWidth="1"/>
    <col min="1287" max="1287" width="0" style="64" hidden="1" customWidth="1"/>
    <col min="1288" max="1288" width="12" style="64" customWidth="1"/>
    <col min="1289" max="1534" width="8.85546875" style="64"/>
    <col min="1535" max="1538" width="0" style="64" hidden="1" customWidth="1"/>
    <col min="1539" max="1539" width="13.42578125" style="64" customWidth="1"/>
    <col min="1540" max="1540" width="46.140625" style="64" customWidth="1"/>
    <col min="1541" max="1541" width="68.85546875" style="64" customWidth="1"/>
    <col min="1542" max="1542" width="15.140625" style="64" bestFit="1" customWidth="1"/>
    <col min="1543" max="1543" width="0" style="64" hidden="1" customWidth="1"/>
    <col min="1544" max="1544" width="12" style="64" customWidth="1"/>
    <col min="1545" max="1790" width="8.85546875" style="64"/>
    <col min="1791" max="1794" width="0" style="64" hidden="1" customWidth="1"/>
    <col min="1795" max="1795" width="13.42578125" style="64" customWidth="1"/>
    <col min="1796" max="1796" width="46.140625" style="64" customWidth="1"/>
    <col min="1797" max="1797" width="68.85546875" style="64" customWidth="1"/>
    <col min="1798" max="1798" width="15.140625" style="64" bestFit="1" customWidth="1"/>
    <col min="1799" max="1799" width="0" style="64" hidden="1" customWidth="1"/>
    <col min="1800" max="1800" width="12" style="64" customWidth="1"/>
    <col min="1801" max="2046" width="8.85546875" style="64"/>
    <col min="2047" max="2050" width="0" style="64" hidden="1" customWidth="1"/>
    <col min="2051" max="2051" width="13.42578125" style="64" customWidth="1"/>
    <col min="2052" max="2052" width="46.140625" style="64" customWidth="1"/>
    <col min="2053" max="2053" width="68.85546875" style="64" customWidth="1"/>
    <col min="2054" max="2054" width="15.140625" style="64" bestFit="1" customWidth="1"/>
    <col min="2055" max="2055" width="0" style="64" hidden="1" customWidth="1"/>
    <col min="2056" max="2056" width="12" style="64" customWidth="1"/>
    <col min="2057" max="2302" width="8.85546875" style="64"/>
    <col min="2303" max="2306" width="0" style="64" hidden="1" customWidth="1"/>
    <col min="2307" max="2307" width="13.42578125" style="64" customWidth="1"/>
    <col min="2308" max="2308" width="46.140625" style="64" customWidth="1"/>
    <col min="2309" max="2309" width="68.85546875" style="64" customWidth="1"/>
    <col min="2310" max="2310" width="15.140625" style="64" bestFit="1" customWidth="1"/>
    <col min="2311" max="2311" width="0" style="64" hidden="1" customWidth="1"/>
    <col min="2312" max="2312" width="12" style="64" customWidth="1"/>
    <col min="2313" max="2558" width="8.85546875" style="64"/>
    <col min="2559" max="2562" width="0" style="64" hidden="1" customWidth="1"/>
    <col min="2563" max="2563" width="13.42578125" style="64" customWidth="1"/>
    <col min="2564" max="2564" width="46.140625" style="64" customWidth="1"/>
    <col min="2565" max="2565" width="68.85546875" style="64" customWidth="1"/>
    <col min="2566" max="2566" width="15.140625" style="64" bestFit="1" customWidth="1"/>
    <col min="2567" max="2567" width="0" style="64" hidden="1" customWidth="1"/>
    <col min="2568" max="2568" width="12" style="64" customWidth="1"/>
    <col min="2569" max="2814" width="8.85546875" style="64"/>
    <col min="2815" max="2818" width="0" style="64" hidden="1" customWidth="1"/>
    <col min="2819" max="2819" width="13.42578125" style="64" customWidth="1"/>
    <col min="2820" max="2820" width="46.140625" style="64" customWidth="1"/>
    <col min="2821" max="2821" width="68.85546875" style="64" customWidth="1"/>
    <col min="2822" max="2822" width="15.140625" style="64" bestFit="1" customWidth="1"/>
    <col min="2823" max="2823" width="0" style="64" hidden="1" customWidth="1"/>
    <col min="2824" max="2824" width="12" style="64" customWidth="1"/>
    <col min="2825" max="3070" width="8.85546875" style="64"/>
    <col min="3071" max="3074" width="0" style="64" hidden="1" customWidth="1"/>
    <col min="3075" max="3075" width="13.42578125" style="64" customWidth="1"/>
    <col min="3076" max="3076" width="46.140625" style="64" customWidth="1"/>
    <col min="3077" max="3077" width="68.85546875" style="64" customWidth="1"/>
    <col min="3078" max="3078" width="15.140625" style="64" bestFit="1" customWidth="1"/>
    <col min="3079" max="3079" width="0" style="64" hidden="1" customWidth="1"/>
    <col min="3080" max="3080" width="12" style="64" customWidth="1"/>
    <col min="3081" max="3326" width="8.85546875" style="64"/>
    <col min="3327" max="3330" width="0" style="64" hidden="1" customWidth="1"/>
    <col min="3331" max="3331" width="13.42578125" style="64" customWidth="1"/>
    <col min="3332" max="3332" width="46.140625" style="64" customWidth="1"/>
    <col min="3333" max="3333" width="68.85546875" style="64" customWidth="1"/>
    <col min="3334" max="3334" width="15.140625" style="64" bestFit="1" customWidth="1"/>
    <col min="3335" max="3335" width="0" style="64" hidden="1" customWidth="1"/>
    <col min="3336" max="3336" width="12" style="64" customWidth="1"/>
    <col min="3337" max="3582" width="8.85546875" style="64"/>
    <col min="3583" max="3586" width="0" style="64" hidden="1" customWidth="1"/>
    <col min="3587" max="3587" width="13.42578125" style="64" customWidth="1"/>
    <col min="3588" max="3588" width="46.140625" style="64" customWidth="1"/>
    <col min="3589" max="3589" width="68.85546875" style="64" customWidth="1"/>
    <col min="3590" max="3590" width="15.140625" style="64" bestFit="1" customWidth="1"/>
    <col min="3591" max="3591" width="0" style="64" hidden="1" customWidth="1"/>
    <col min="3592" max="3592" width="12" style="64" customWidth="1"/>
    <col min="3593" max="3838" width="8.85546875" style="64"/>
    <col min="3839" max="3842" width="0" style="64" hidden="1" customWidth="1"/>
    <col min="3843" max="3843" width="13.42578125" style="64" customWidth="1"/>
    <col min="3844" max="3844" width="46.140625" style="64" customWidth="1"/>
    <col min="3845" max="3845" width="68.85546875" style="64" customWidth="1"/>
    <col min="3846" max="3846" width="15.140625" style="64" bestFit="1" customWidth="1"/>
    <col min="3847" max="3847" width="0" style="64" hidden="1" customWidth="1"/>
    <col min="3848" max="3848" width="12" style="64" customWidth="1"/>
    <col min="3849" max="4094" width="8.85546875" style="64"/>
    <col min="4095" max="4098" width="0" style="64" hidden="1" customWidth="1"/>
    <col min="4099" max="4099" width="13.42578125" style="64" customWidth="1"/>
    <col min="4100" max="4100" width="46.140625" style="64" customWidth="1"/>
    <col min="4101" max="4101" width="68.85546875" style="64" customWidth="1"/>
    <col min="4102" max="4102" width="15.140625" style="64" bestFit="1" customWidth="1"/>
    <col min="4103" max="4103" width="0" style="64" hidden="1" customWidth="1"/>
    <col min="4104" max="4104" width="12" style="64" customWidth="1"/>
    <col min="4105" max="4350" width="8.85546875" style="64"/>
    <col min="4351" max="4354" width="0" style="64" hidden="1" customWidth="1"/>
    <col min="4355" max="4355" width="13.42578125" style="64" customWidth="1"/>
    <col min="4356" max="4356" width="46.140625" style="64" customWidth="1"/>
    <col min="4357" max="4357" width="68.85546875" style="64" customWidth="1"/>
    <col min="4358" max="4358" width="15.140625" style="64" bestFit="1" customWidth="1"/>
    <col min="4359" max="4359" width="0" style="64" hidden="1" customWidth="1"/>
    <col min="4360" max="4360" width="12" style="64" customWidth="1"/>
    <col min="4361" max="4606" width="8.85546875" style="64"/>
    <col min="4607" max="4610" width="0" style="64" hidden="1" customWidth="1"/>
    <col min="4611" max="4611" width="13.42578125" style="64" customWidth="1"/>
    <col min="4612" max="4612" width="46.140625" style="64" customWidth="1"/>
    <col min="4613" max="4613" width="68.85546875" style="64" customWidth="1"/>
    <col min="4614" max="4614" width="15.140625" style="64" bestFit="1" customWidth="1"/>
    <col min="4615" max="4615" width="0" style="64" hidden="1" customWidth="1"/>
    <col min="4616" max="4616" width="12" style="64" customWidth="1"/>
    <col min="4617" max="4862" width="8.85546875" style="64"/>
    <col min="4863" max="4866" width="0" style="64" hidden="1" customWidth="1"/>
    <col min="4867" max="4867" width="13.42578125" style="64" customWidth="1"/>
    <col min="4868" max="4868" width="46.140625" style="64" customWidth="1"/>
    <col min="4869" max="4869" width="68.85546875" style="64" customWidth="1"/>
    <col min="4870" max="4870" width="15.140625" style="64" bestFit="1" customWidth="1"/>
    <col min="4871" max="4871" width="0" style="64" hidden="1" customWidth="1"/>
    <col min="4872" max="4872" width="12" style="64" customWidth="1"/>
    <col min="4873" max="5118" width="8.85546875" style="64"/>
    <col min="5119" max="5122" width="0" style="64" hidden="1" customWidth="1"/>
    <col min="5123" max="5123" width="13.42578125" style="64" customWidth="1"/>
    <col min="5124" max="5124" width="46.140625" style="64" customWidth="1"/>
    <col min="5125" max="5125" width="68.85546875" style="64" customWidth="1"/>
    <col min="5126" max="5126" width="15.140625" style="64" bestFit="1" customWidth="1"/>
    <col min="5127" max="5127" width="0" style="64" hidden="1" customWidth="1"/>
    <col min="5128" max="5128" width="12" style="64" customWidth="1"/>
    <col min="5129" max="5374" width="8.85546875" style="64"/>
    <col min="5375" max="5378" width="0" style="64" hidden="1" customWidth="1"/>
    <col min="5379" max="5379" width="13.42578125" style="64" customWidth="1"/>
    <col min="5380" max="5380" width="46.140625" style="64" customWidth="1"/>
    <col min="5381" max="5381" width="68.85546875" style="64" customWidth="1"/>
    <col min="5382" max="5382" width="15.140625" style="64" bestFit="1" customWidth="1"/>
    <col min="5383" max="5383" width="0" style="64" hidden="1" customWidth="1"/>
    <col min="5384" max="5384" width="12" style="64" customWidth="1"/>
    <col min="5385" max="5630" width="8.85546875" style="64"/>
    <col min="5631" max="5634" width="0" style="64" hidden="1" customWidth="1"/>
    <col min="5635" max="5635" width="13.42578125" style="64" customWidth="1"/>
    <col min="5636" max="5636" width="46.140625" style="64" customWidth="1"/>
    <col min="5637" max="5637" width="68.85546875" style="64" customWidth="1"/>
    <col min="5638" max="5638" width="15.140625" style="64" bestFit="1" customWidth="1"/>
    <col min="5639" max="5639" width="0" style="64" hidden="1" customWidth="1"/>
    <col min="5640" max="5640" width="12" style="64" customWidth="1"/>
    <col min="5641" max="5886" width="8.85546875" style="64"/>
    <col min="5887" max="5890" width="0" style="64" hidden="1" customWidth="1"/>
    <col min="5891" max="5891" width="13.42578125" style="64" customWidth="1"/>
    <col min="5892" max="5892" width="46.140625" style="64" customWidth="1"/>
    <col min="5893" max="5893" width="68.85546875" style="64" customWidth="1"/>
    <col min="5894" max="5894" width="15.140625" style="64" bestFit="1" customWidth="1"/>
    <col min="5895" max="5895" width="0" style="64" hidden="1" customWidth="1"/>
    <col min="5896" max="5896" width="12" style="64" customWidth="1"/>
    <col min="5897" max="6142" width="8.85546875" style="64"/>
    <col min="6143" max="6146" width="0" style="64" hidden="1" customWidth="1"/>
    <col min="6147" max="6147" width="13.42578125" style="64" customWidth="1"/>
    <col min="6148" max="6148" width="46.140625" style="64" customWidth="1"/>
    <col min="6149" max="6149" width="68.85546875" style="64" customWidth="1"/>
    <col min="6150" max="6150" width="15.140625" style="64" bestFit="1" customWidth="1"/>
    <col min="6151" max="6151" width="0" style="64" hidden="1" customWidth="1"/>
    <col min="6152" max="6152" width="12" style="64" customWidth="1"/>
    <col min="6153" max="6398" width="8.85546875" style="64"/>
    <col min="6399" max="6402" width="0" style="64" hidden="1" customWidth="1"/>
    <col min="6403" max="6403" width="13.42578125" style="64" customWidth="1"/>
    <col min="6404" max="6404" width="46.140625" style="64" customWidth="1"/>
    <col min="6405" max="6405" width="68.85546875" style="64" customWidth="1"/>
    <col min="6406" max="6406" width="15.140625" style="64" bestFit="1" customWidth="1"/>
    <col min="6407" max="6407" width="0" style="64" hidden="1" customWidth="1"/>
    <col min="6408" max="6408" width="12" style="64" customWidth="1"/>
    <col min="6409" max="6654" width="8.85546875" style="64"/>
    <col min="6655" max="6658" width="0" style="64" hidden="1" customWidth="1"/>
    <col min="6659" max="6659" width="13.42578125" style="64" customWidth="1"/>
    <col min="6660" max="6660" width="46.140625" style="64" customWidth="1"/>
    <col min="6661" max="6661" width="68.85546875" style="64" customWidth="1"/>
    <col min="6662" max="6662" width="15.140625" style="64" bestFit="1" customWidth="1"/>
    <col min="6663" max="6663" width="0" style="64" hidden="1" customWidth="1"/>
    <col min="6664" max="6664" width="12" style="64" customWidth="1"/>
    <col min="6665" max="6910" width="8.85546875" style="64"/>
    <col min="6911" max="6914" width="0" style="64" hidden="1" customWidth="1"/>
    <col min="6915" max="6915" width="13.42578125" style="64" customWidth="1"/>
    <col min="6916" max="6916" width="46.140625" style="64" customWidth="1"/>
    <col min="6917" max="6917" width="68.85546875" style="64" customWidth="1"/>
    <col min="6918" max="6918" width="15.140625" style="64" bestFit="1" customWidth="1"/>
    <col min="6919" max="6919" width="0" style="64" hidden="1" customWidth="1"/>
    <col min="6920" max="6920" width="12" style="64" customWidth="1"/>
    <col min="6921" max="7166" width="8.85546875" style="64"/>
    <col min="7167" max="7170" width="0" style="64" hidden="1" customWidth="1"/>
    <col min="7171" max="7171" width="13.42578125" style="64" customWidth="1"/>
    <col min="7172" max="7172" width="46.140625" style="64" customWidth="1"/>
    <col min="7173" max="7173" width="68.85546875" style="64" customWidth="1"/>
    <col min="7174" max="7174" width="15.140625" style="64" bestFit="1" customWidth="1"/>
    <col min="7175" max="7175" width="0" style="64" hidden="1" customWidth="1"/>
    <col min="7176" max="7176" width="12" style="64" customWidth="1"/>
    <col min="7177" max="7422" width="8.85546875" style="64"/>
    <col min="7423" max="7426" width="0" style="64" hidden="1" customWidth="1"/>
    <col min="7427" max="7427" width="13.42578125" style="64" customWidth="1"/>
    <col min="7428" max="7428" width="46.140625" style="64" customWidth="1"/>
    <col min="7429" max="7429" width="68.85546875" style="64" customWidth="1"/>
    <col min="7430" max="7430" width="15.140625" style="64" bestFit="1" customWidth="1"/>
    <col min="7431" max="7431" width="0" style="64" hidden="1" customWidth="1"/>
    <col min="7432" max="7432" width="12" style="64" customWidth="1"/>
    <col min="7433" max="7678" width="8.85546875" style="64"/>
    <col min="7679" max="7682" width="0" style="64" hidden="1" customWidth="1"/>
    <col min="7683" max="7683" width="13.42578125" style="64" customWidth="1"/>
    <col min="7684" max="7684" width="46.140625" style="64" customWidth="1"/>
    <col min="7685" max="7685" width="68.85546875" style="64" customWidth="1"/>
    <col min="7686" max="7686" width="15.140625" style="64" bestFit="1" customWidth="1"/>
    <col min="7687" max="7687" width="0" style="64" hidden="1" customWidth="1"/>
    <col min="7688" max="7688" width="12" style="64" customWidth="1"/>
    <col min="7689" max="7934" width="8.85546875" style="64"/>
    <col min="7935" max="7938" width="0" style="64" hidden="1" customWidth="1"/>
    <col min="7939" max="7939" width="13.42578125" style="64" customWidth="1"/>
    <col min="7940" max="7940" width="46.140625" style="64" customWidth="1"/>
    <col min="7941" max="7941" width="68.85546875" style="64" customWidth="1"/>
    <col min="7942" max="7942" width="15.140625" style="64" bestFit="1" customWidth="1"/>
    <col min="7943" max="7943" width="0" style="64" hidden="1" customWidth="1"/>
    <col min="7944" max="7944" width="12" style="64" customWidth="1"/>
    <col min="7945" max="8190" width="8.85546875" style="64"/>
    <col min="8191" max="8194" width="0" style="64" hidden="1" customWidth="1"/>
    <col min="8195" max="8195" width="13.42578125" style="64" customWidth="1"/>
    <col min="8196" max="8196" width="46.140625" style="64" customWidth="1"/>
    <col min="8197" max="8197" width="68.85546875" style="64" customWidth="1"/>
    <col min="8198" max="8198" width="15.140625" style="64" bestFit="1" customWidth="1"/>
    <col min="8199" max="8199" width="0" style="64" hidden="1" customWidth="1"/>
    <col min="8200" max="8200" width="12" style="64" customWidth="1"/>
    <col min="8201" max="8446" width="8.85546875" style="64"/>
    <col min="8447" max="8450" width="0" style="64" hidden="1" customWidth="1"/>
    <col min="8451" max="8451" width="13.42578125" style="64" customWidth="1"/>
    <col min="8452" max="8452" width="46.140625" style="64" customWidth="1"/>
    <col min="8453" max="8453" width="68.85546875" style="64" customWidth="1"/>
    <col min="8454" max="8454" width="15.140625" style="64" bestFit="1" customWidth="1"/>
    <col min="8455" max="8455" width="0" style="64" hidden="1" customWidth="1"/>
    <col min="8456" max="8456" width="12" style="64" customWidth="1"/>
    <col min="8457" max="8702" width="8.85546875" style="64"/>
    <col min="8703" max="8706" width="0" style="64" hidden="1" customWidth="1"/>
    <col min="8707" max="8707" width="13.42578125" style="64" customWidth="1"/>
    <col min="8708" max="8708" width="46.140625" style="64" customWidth="1"/>
    <col min="8709" max="8709" width="68.85546875" style="64" customWidth="1"/>
    <col min="8710" max="8710" width="15.140625" style="64" bestFit="1" customWidth="1"/>
    <col min="8711" max="8711" width="0" style="64" hidden="1" customWidth="1"/>
    <col min="8712" max="8712" width="12" style="64" customWidth="1"/>
    <col min="8713" max="8958" width="8.85546875" style="64"/>
    <col min="8959" max="8962" width="0" style="64" hidden="1" customWidth="1"/>
    <col min="8963" max="8963" width="13.42578125" style="64" customWidth="1"/>
    <col min="8964" max="8964" width="46.140625" style="64" customWidth="1"/>
    <col min="8965" max="8965" width="68.85546875" style="64" customWidth="1"/>
    <col min="8966" max="8966" width="15.140625" style="64" bestFit="1" customWidth="1"/>
    <col min="8967" max="8967" width="0" style="64" hidden="1" customWidth="1"/>
    <col min="8968" max="8968" width="12" style="64" customWidth="1"/>
    <col min="8969" max="9214" width="8.85546875" style="64"/>
    <col min="9215" max="9218" width="0" style="64" hidden="1" customWidth="1"/>
    <col min="9219" max="9219" width="13.42578125" style="64" customWidth="1"/>
    <col min="9220" max="9220" width="46.140625" style="64" customWidth="1"/>
    <col min="9221" max="9221" width="68.85546875" style="64" customWidth="1"/>
    <col min="9222" max="9222" width="15.140625" style="64" bestFit="1" customWidth="1"/>
    <col min="9223" max="9223" width="0" style="64" hidden="1" customWidth="1"/>
    <col min="9224" max="9224" width="12" style="64" customWidth="1"/>
    <col min="9225" max="9470" width="8.85546875" style="64"/>
    <col min="9471" max="9474" width="0" style="64" hidden="1" customWidth="1"/>
    <col min="9475" max="9475" width="13.42578125" style="64" customWidth="1"/>
    <col min="9476" max="9476" width="46.140625" style="64" customWidth="1"/>
    <col min="9477" max="9477" width="68.85546875" style="64" customWidth="1"/>
    <col min="9478" max="9478" width="15.140625" style="64" bestFit="1" customWidth="1"/>
    <col min="9479" max="9479" width="0" style="64" hidden="1" customWidth="1"/>
    <col min="9480" max="9480" width="12" style="64" customWidth="1"/>
    <col min="9481" max="9726" width="8.85546875" style="64"/>
    <col min="9727" max="9730" width="0" style="64" hidden="1" customWidth="1"/>
    <col min="9731" max="9731" width="13.42578125" style="64" customWidth="1"/>
    <col min="9732" max="9732" width="46.140625" style="64" customWidth="1"/>
    <col min="9733" max="9733" width="68.85546875" style="64" customWidth="1"/>
    <col min="9734" max="9734" width="15.140625" style="64" bestFit="1" customWidth="1"/>
    <col min="9735" max="9735" width="0" style="64" hidden="1" customWidth="1"/>
    <col min="9736" max="9736" width="12" style="64" customWidth="1"/>
    <col min="9737" max="9982" width="8.85546875" style="64"/>
    <col min="9983" max="9986" width="0" style="64" hidden="1" customWidth="1"/>
    <col min="9987" max="9987" width="13.42578125" style="64" customWidth="1"/>
    <col min="9988" max="9988" width="46.140625" style="64" customWidth="1"/>
    <col min="9989" max="9989" width="68.85546875" style="64" customWidth="1"/>
    <col min="9990" max="9990" width="15.140625" style="64" bestFit="1" customWidth="1"/>
    <col min="9991" max="9991" width="0" style="64" hidden="1" customWidth="1"/>
    <col min="9992" max="9992" width="12" style="64" customWidth="1"/>
    <col min="9993" max="10238" width="8.85546875" style="64"/>
    <col min="10239" max="10242" width="0" style="64" hidden="1" customWidth="1"/>
    <col min="10243" max="10243" width="13.42578125" style="64" customWidth="1"/>
    <col min="10244" max="10244" width="46.140625" style="64" customWidth="1"/>
    <col min="10245" max="10245" width="68.85546875" style="64" customWidth="1"/>
    <col min="10246" max="10246" width="15.140625" style="64" bestFit="1" customWidth="1"/>
    <col min="10247" max="10247" width="0" style="64" hidden="1" customWidth="1"/>
    <col min="10248" max="10248" width="12" style="64" customWidth="1"/>
    <col min="10249" max="10494" width="8.85546875" style="64"/>
    <col min="10495" max="10498" width="0" style="64" hidden="1" customWidth="1"/>
    <col min="10499" max="10499" width="13.42578125" style="64" customWidth="1"/>
    <col min="10500" max="10500" width="46.140625" style="64" customWidth="1"/>
    <col min="10501" max="10501" width="68.85546875" style="64" customWidth="1"/>
    <col min="10502" max="10502" width="15.140625" style="64" bestFit="1" customWidth="1"/>
    <col min="10503" max="10503" width="0" style="64" hidden="1" customWidth="1"/>
    <col min="10504" max="10504" width="12" style="64" customWidth="1"/>
    <col min="10505" max="10750" width="8.85546875" style="64"/>
    <col min="10751" max="10754" width="0" style="64" hidden="1" customWidth="1"/>
    <col min="10755" max="10755" width="13.42578125" style="64" customWidth="1"/>
    <col min="10756" max="10756" width="46.140625" style="64" customWidth="1"/>
    <col min="10757" max="10757" width="68.85546875" style="64" customWidth="1"/>
    <col min="10758" max="10758" width="15.140625" style="64" bestFit="1" customWidth="1"/>
    <col min="10759" max="10759" width="0" style="64" hidden="1" customWidth="1"/>
    <col min="10760" max="10760" width="12" style="64" customWidth="1"/>
    <col min="10761" max="11006" width="8.85546875" style="64"/>
    <col min="11007" max="11010" width="0" style="64" hidden="1" customWidth="1"/>
    <col min="11011" max="11011" width="13.42578125" style="64" customWidth="1"/>
    <col min="11012" max="11012" width="46.140625" style="64" customWidth="1"/>
    <col min="11013" max="11013" width="68.85546875" style="64" customWidth="1"/>
    <col min="11014" max="11014" width="15.140625" style="64" bestFit="1" customWidth="1"/>
    <col min="11015" max="11015" width="0" style="64" hidden="1" customWidth="1"/>
    <col min="11016" max="11016" width="12" style="64" customWidth="1"/>
    <col min="11017" max="11262" width="8.85546875" style="64"/>
    <col min="11263" max="11266" width="0" style="64" hidden="1" customWidth="1"/>
    <col min="11267" max="11267" width="13.42578125" style="64" customWidth="1"/>
    <col min="11268" max="11268" width="46.140625" style="64" customWidth="1"/>
    <col min="11269" max="11269" width="68.85546875" style="64" customWidth="1"/>
    <col min="11270" max="11270" width="15.140625" style="64" bestFit="1" customWidth="1"/>
    <col min="11271" max="11271" width="0" style="64" hidden="1" customWidth="1"/>
    <col min="11272" max="11272" width="12" style="64" customWidth="1"/>
    <col min="11273" max="11518" width="8.85546875" style="64"/>
    <col min="11519" max="11522" width="0" style="64" hidden="1" customWidth="1"/>
    <col min="11523" max="11523" width="13.42578125" style="64" customWidth="1"/>
    <col min="11524" max="11524" width="46.140625" style="64" customWidth="1"/>
    <col min="11525" max="11525" width="68.85546875" style="64" customWidth="1"/>
    <col min="11526" max="11526" width="15.140625" style="64" bestFit="1" customWidth="1"/>
    <col min="11527" max="11527" width="0" style="64" hidden="1" customWidth="1"/>
    <col min="11528" max="11528" width="12" style="64" customWidth="1"/>
    <col min="11529" max="11774" width="8.85546875" style="64"/>
    <col min="11775" max="11778" width="0" style="64" hidden="1" customWidth="1"/>
    <col min="11779" max="11779" width="13.42578125" style="64" customWidth="1"/>
    <col min="11780" max="11780" width="46.140625" style="64" customWidth="1"/>
    <col min="11781" max="11781" width="68.85546875" style="64" customWidth="1"/>
    <col min="11782" max="11782" width="15.140625" style="64" bestFit="1" customWidth="1"/>
    <col min="11783" max="11783" width="0" style="64" hidden="1" customWidth="1"/>
    <col min="11784" max="11784" width="12" style="64" customWidth="1"/>
    <col min="11785" max="12030" width="8.85546875" style="64"/>
    <col min="12031" max="12034" width="0" style="64" hidden="1" customWidth="1"/>
    <col min="12035" max="12035" width="13.42578125" style="64" customWidth="1"/>
    <col min="12036" max="12036" width="46.140625" style="64" customWidth="1"/>
    <col min="12037" max="12037" width="68.85546875" style="64" customWidth="1"/>
    <col min="12038" max="12038" width="15.140625" style="64" bestFit="1" customWidth="1"/>
    <col min="12039" max="12039" width="0" style="64" hidden="1" customWidth="1"/>
    <col min="12040" max="12040" width="12" style="64" customWidth="1"/>
    <col min="12041" max="12286" width="8.85546875" style="64"/>
    <col min="12287" max="12290" width="0" style="64" hidden="1" customWidth="1"/>
    <col min="12291" max="12291" width="13.42578125" style="64" customWidth="1"/>
    <col min="12292" max="12292" width="46.140625" style="64" customWidth="1"/>
    <col min="12293" max="12293" width="68.85546875" style="64" customWidth="1"/>
    <col min="12294" max="12294" width="15.140625" style="64" bestFit="1" customWidth="1"/>
    <col min="12295" max="12295" width="0" style="64" hidden="1" customWidth="1"/>
    <col min="12296" max="12296" width="12" style="64" customWidth="1"/>
    <col min="12297" max="12542" width="8.85546875" style="64"/>
    <col min="12543" max="12546" width="0" style="64" hidden="1" customWidth="1"/>
    <col min="12547" max="12547" width="13.42578125" style="64" customWidth="1"/>
    <col min="12548" max="12548" width="46.140625" style="64" customWidth="1"/>
    <col min="12549" max="12549" width="68.85546875" style="64" customWidth="1"/>
    <col min="12550" max="12550" width="15.140625" style="64" bestFit="1" customWidth="1"/>
    <col min="12551" max="12551" width="0" style="64" hidden="1" customWidth="1"/>
    <col min="12552" max="12552" width="12" style="64" customWidth="1"/>
    <col min="12553" max="12798" width="8.85546875" style="64"/>
    <col min="12799" max="12802" width="0" style="64" hidden="1" customWidth="1"/>
    <col min="12803" max="12803" width="13.42578125" style="64" customWidth="1"/>
    <col min="12804" max="12804" width="46.140625" style="64" customWidth="1"/>
    <col min="12805" max="12805" width="68.85546875" style="64" customWidth="1"/>
    <col min="12806" max="12806" width="15.140625" style="64" bestFit="1" customWidth="1"/>
    <col min="12807" max="12807" width="0" style="64" hidden="1" customWidth="1"/>
    <col min="12808" max="12808" width="12" style="64" customWidth="1"/>
    <col min="12809" max="13054" width="8.85546875" style="64"/>
    <col min="13055" max="13058" width="0" style="64" hidden="1" customWidth="1"/>
    <col min="13059" max="13059" width="13.42578125" style="64" customWidth="1"/>
    <col min="13060" max="13060" width="46.140625" style="64" customWidth="1"/>
    <col min="13061" max="13061" width="68.85546875" style="64" customWidth="1"/>
    <col min="13062" max="13062" width="15.140625" style="64" bestFit="1" customWidth="1"/>
    <col min="13063" max="13063" width="0" style="64" hidden="1" customWidth="1"/>
    <col min="13064" max="13064" width="12" style="64" customWidth="1"/>
    <col min="13065" max="13310" width="8.85546875" style="64"/>
    <col min="13311" max="13314" width="0" style="64" hidden="1" customWidth="1"/>
    <col min="13315" max="13315" width="13.42578125" style="64" customWidth="1"/>
    <col min="13316" max="13316" width="46.140625" style="64" customWidth="1"/>
    <col min="13317" max="13317" width="68.85546875" style="64" customWidth="1"/>
    <col min="13318" max="13318" width="15.140625" style="64" bestFit="1" customWidth="1"/>
    <col min="13319" max="13319" width="0" style="64" hidden="1" customWidth="1"/>
    <col min="13320" max="13320" width="12" style="64" customWidth="1"/>
    <col min="13321" max="13566" width="8.85546875" style="64"/>
    <col min="13567" max="13570" width="0" style="64" hidden="1" customWidth="1"/>
    <col min="13571" max="13571" width="13.42578125" style="64" customWidth="1"/>
    <col min="13572" max="13572" width="46.140625" style="64" customWidth="1"/>
    <col min="13573" max="13573" width="68.85546875" style="64" customWidth="1"/>
    <col min="13574" max="13574" width="15.140625" style="64" bestFit="1" customWidth="1"/>
    <col min="13575" max="13575" width="0" style="64" hidden="1" customWidth="1"/>
    <col min="13576" max="13576" width="12" style="64" customWidth="1"/>
    <col min="13577" max="13822" width="8.85546875" style="64"/>
    <col min="13823" max="13826" width="0" style="64" hidden="1" customWidth="1"/>
    <col min="13827" max="13827" width="13.42578125" style="64" customWidth="1"/>
    <col min="13828" max="13828" width="46.140625" style="64" customWidth="1"/>
    <col min="13829" max="13829" width="68.85546875" style="64" customWidth="1"/>
    <col min="13830" max="13830" width="15.140625" style="64" bestFit="1" customWidth="1"/>
    <col min="13831" max="13831" width="0" style="64" hidden="1" customWidth="1"/>
    <col min="13832" max="13832" width="12" style="64" customWidth="1"/>
    <col min="13833" max="14078" width="8.85546875" style="64"/>
    <col min="14079" max="14082" width="0" style="64" hidden="1" customWidth="1"/>
    <col min="14083" max="14083" width="13.42578125" style="64" customWidth="1"/>
    <col min="14084" max="14084" width="46.140625" style="64" customWidth="1"/>
    <col min="14085" max="14085" width="68.85546875" style="64" customWidth="1"/>
    <col min="14086" max="14086" width="15.140625" style="64" bestFit="1" customWidth="1"/>
    <col min="14087" max="14087" width="0" style="64" hidden="1" customWidth="1"/>
    <col min="14088" max="14088" width="12" style="64" customWidth="1"/>
    <col min="14089" max="14334" width="8.85546875" style="64"/>
    <col min="14335" max="14338" width="0" style="64" hidden="1" customWidth="1"/>
    <col min="14339" max="14339" width="13.42578125" style="64" customWidth="1"/>
    <col min="14340" max="14340" width="46.140625" style="64" customWidth="1"/>
    <col min="14341" max="14341" width="68.85546875" style="64" customWidth="1"/>
    <col min="14342" max="14342" width="15.140625" style="64" bestFit="1" customWidth="1"/>
    <col min="14343" max="14343" width="0" style="64" hidden="1" customWidth="1"/>
    <col min="14344" max="14344" width="12" style="64" customWidth="1"/>
    <col min="14345" max="14590" width="8.85546875" style="64"/>
    <col min="14591" max="14594" width="0" style="64" hidden="1" customWidth="1"/>
    <col min="14595" max="14595" width="13.42578125" style="64" customWidth="1"/>
    <col min="14596" max="14596" width="46.140625" style="64" customWidth="1"/>
    <col min="14597" max="14597" width="68.85546875" style="64" customWidth="1"/>
    <col min="14598" max="14598" width="15.140625" style="64" bestFit="1" customWidth="1"/>
    <col min="14599" max="14599" width="0" style="64" hidden="1" customWidth="1"/>
    <col min="14600" max="14600" width="12" style="64" customWidth="1"/>
    <col min="14601" max="14846" width="8.85546875" style="64"/>
    <col min="14847" max="14850" width="0" style="64" hidden="1" customWidth="1"/>
    <col min="14851" max="14851" width="13.42578125" style="64" customWidth="1"/>
    <col min="14852" max="14852" width="46.140625" style="64" customWidth="1"/>
    <col min="14853" max="14853" width="68.85546875" style="64" customWidth="1"/>
    <col min="14854" max="14854" width="15.140625" style="64" bestFit="1" customWidth="1"/>
    <col min="14855" max="14855" width="0" style="64" hidden="1" customWidth="1"/>
    <col min="14856" max="14856" width="12" style="64" customWidth="1"/>
    <col min="14857" max="15102" width="8.85546875" style="64"/>
    <col min="15103" max="15106" width="0" style="64" hidden="1" customWidth="1"/>
    <col min="15107" max="15107" width="13.42578125" style="64" customWidth="1"/>
    <col min="15108" max="15108" width="46.140625" style="64" customWidth="1"/>
    <col min="15109" max="15109" width="68.85546875" style="64" customWidth="1"/>
    <col min="15110" max="15110" width="15.140625" style="64" bestFit="1" customWidth="1"/>
    <col min="15111" max="15111" width="0" style="64" hidden="1" customWidth="1"/>
    <col min="15112" max="15112" width="12" style="64" customWidth="1"/>
    <col min="15113" max="15358" width="8.85546875" style="64"/>
    <col min="15359" max="15362" width="0" style="64" hidden="1" customWidth="1"/>
    <col min="15363" max="15363" width="13.42578125" style="64" customWidth="1"/>
    <col min="15364" max="15364" width="46.140625" style="64" customWidth="1"/>
    <col min="15365" max="15365" width="68.85546875" style="64" customWidth="1"/>
    <col min="15366" max="15366" width="15.140625" style="64" bestFit="1" customWidth="1"/>
    <col min="15367" max="15367" width="0" style="64" hidden="1" customWidth="1"/>
    <col min="15368" max="15368" width="12" style="64" customWidth="1"/>
    <col min="15369" max="15614" width="8.85546875" style="64"/>
    <col min="15615" max="15618" width="0" style="64" hidden="1" customWidth="1"/>
    <col min="15619" max="15619" width="13.42578125" style="64" customWidth="1"/>
    <col min="15620" max="15620" width="46.140625" style="64" customWidth="1"/>
    <col min="15621" max="15621" width="68.85546875" style="64" customWidth="1"/>
    <col min="15622" max="15622" width="15.140625" style="64" bestFit="1" customWidth="1"/>
    <col min="15623" max="15623" width="0" style="64" hidden="1" customWidth="1"/>
    <col min="15624" max="15624" width="12" style="64" customWidth="1"/>
    <col min="15625" max="15870" width="8.85546875" style="64"/>
    <col min="15871" max="15874" width="0" style="64" hidden="1" customWidth="1"/>
    <col min="15875" max="15875" width="13.42578125" style="64" customWidth="1"/>
    <col min="15876" max="15876" width="46.140625" style="64" customWidth="1"/>
    <col min="15877" max="15877" width="68.85546875" style="64" customWidth="1"/>
    <col min="15878" max="15878" width="15.140625" style="64" bestFit="1" customWidth="1"/>
    <col min="15879" max="15879" width="0" style="64" hidden="1" customWidth="1"/>
    <col min="15880" max="15880" width="12" style="64" customWidth="1"/>
    <col min="15881" max="16126" width="8.85546875" style="64"/>
    <col min="16127" max="16130" width="0" style="64" hidden="1" customWidth="1"/>
    <col min="16131" max="16131" width="13.42578125" style="64" customWidth="1"/>
    <col min="16132" max="16132" width="46.140625" style="64" customWidth="1"/>
    <col min="16133" max="16133" width="68.85546875" style="64" customWidth="1"/>
    <col min="16134" max="16134" width="15.140625" style="64" bestFit="1" customWidth="1"/>
    <col min="16135" max="16135" width="0" style="64" hidden="1" customWidth="1"/>
    <col min="16136" max="16136" width="12" style="64" customWidth="1"/>
    <col min="16137" max="16384" width="8.85546875" style="64"/>
  </cols>
  <sheetData>
    <row r="1" spans="1:9" ht="24">
      <c r="B1" s="67" t="s">
        <v>316</v>
      </c>
      <c r="C1" s="67" t="s">
        <v>317</v>
      </c>
      <c r="D1" s="67" t="s">
        <v>318</v>
      </c>
      <c r="E1" s="68" t="s">
        <v>319</v>
      </c>
      <c r="F1" s="69" t="s">
        <v>320</v>
      </c>
      <c r="G1" s="69" t="s">
        <v>321</v>
      </c>
      <c r="H1" s="70" t="s">
        <v>322</v>
      </c>
      <c r="I1" s="71" t="s">
        <v>323</v>
      </c>
    </row>
    <row r="2" spans="1:9">
      <c r="B2" s="76">
        <v>20</v>
      </c>
      <c r="C2" s="77"/>
      <c r="D2" s="76">
        <v>42</v>
      </c>
      <c r="E2" s="78" t="s">
        <v>325</v>
      </c>
      <c r="F2" s="79" t="s">
        <v>326</v>
      </c>
      <c r="G2" s="80" t="s">
        <v>324</v>
      </c>
      <c r="H2" s="81">
        <v>41634.160000000003</v>
      </c>
      <c r="I2" s="82">
        <v>54422.481919999998</v>
      </c>
    </row>
    <row r="3" spans="1:9">
      <c r="B3" s="83">
        <v>20</v>
      </c>
      <c r="C3" s="83">
        <v>0</v>
      </c>
      <c r="D3" s="83">
        <v>42</v>
      </c>
      <c r="E3" s="84" t="s">
        <v>325</v>
      </c>
      <c r="F3" s="85">
        <v>7768280102</v>
      </c>
      <c r="G3" s="86" t="s">
        <v>213</v>
      </c>
      <c r="H3" s="87">
        <v>19831.392</v>
      </c>
      <c r="I3" s="87">
        <v>26192</v>
      </c>
    </row>
    <row r="4" spans="1:9">
      <c r="B4" s="83">
        <v>20</v>
      </c>
      <c r="C4" s="83">
        <v>0</v>
      </c>
      <c r="D4" s="83">
        <v>42</v>
      </c>
      <c r="E4" s="84" t="s">
        <v>325</v>
      </c>
      <c r="F4" s="85">
        <v>7763680103</v>
      </c>
      <c r="G4" s="86" t="s">
        <v>327</v>
      </c>
      <c r="H4" s="87">
        <v>11549.2</v>
      </c>
      <c r="I4" s="87">
        <v>15240</v>
      </c>
    </row>
    <row r="5" spans="1:9">
      <c r="B5" s="88">
        <v>20</v>
      </c>
      <c r="C5" s="88">
        <v>0</v>
      </c>
      <c r="D5" s="88">
        <v>42</v>
      </c>
      <c r="E5" s="89" t="s">
        <v>325</v>
      </c>
      <c r="F5" s="90">
        <v>7704330122</v>
      </c>
      <c r="G5" s="91" t="s">
        <v>289</v>
      </c>
      <c r="H5" s="92">
        <v>10253.567999999999</v>
      </c>
      <c r="I5" s="92">
        <v>12990.48192</v>
      </c>
    </row>
    <row r="6" spans="1:9" ht="9.6" customHeight="1"/>
    <row r="7" spans="1:9">
      <c r="B7" s="76">
        <v>21</v>
      </c>
      <c r="C7" s="77"/>
      <c r="D7" s="76">
        <v>43</v>
      </c>
      <c r="E7" s="78" t="s">
        <v>328</v>
      </c>
      <c r="F7" s="79" t="s">
        <v>329</v>
      </c>
      <c r="G7" s="80" t="s">
        <v>324</v>
      </c>
      <c r="H7" s="81">
        <v>43529.872000000003</v>
      </c>
      <c r="I7" s="82">
        <v>57782</v>
      </c>
    </row>
    <row r="8" spans="1:9">
      <c r="B8" s="83">
        <v>21</v>
      </c>
      <c r="C8" s="83">
        <v>0</v>
      </c>
      <c r="D8" s="83">
        <v>43</v>
      </c>
      <c r="E8" s="84" t="s">
        <v>328</v>
      </c>
      <c r="F8" s="85">
        <v>7768280101</v>
      </c>
      <c r="G8" s="86" t="s">
        <v>214</v>
      </c>
      <c r="H8" s="87">
        <v>19831.392</v>
      </c>
      <c r="I8" s="87">
        <v>26192</v>
      </c>
    </row>
    <row r="9" spans="1:9">
      <c r="B9" s="83">
        <v>21</v>
      </c>
      <c r="C9" s="83">
        <v>0</v>
      </c>
      <c r="D9" s="83">
        <v>43</v>
      </c>
      <c r="E9" s="84" t="s">
        <v>328</v>
      </c>
      <c r="F9" s="85">
        <v>7763680102</v>
      </c>
      <c r="G9" s="86" t="s">
        <v>143</v>
      </c>
      <c r="H9" s="87">
        <v>11549.2</v>
      </c>
      <c r="I9" s="87">
        <v>15240</v>
      </c>
    </row>
    <row r="10" spans="1:9">
      <c r="B10" s="88">
        <v>21</v>
      </c>
      <c r="C10" s="88">
        <v>0</v>
      </c>
      <c r="D10" s="88">
        <v>43</v>
      </c>
      <c r="E10" s="89" t="s">
        <v>328</v>
      </c>
      <c r="F10" s="93">
        <v>7704331102</v>
      </c>
      <c r="G10" s="94" t="s">
        <v>39</v>
      </c>
      <c r="H10" s="92">
        <v>12149.28</v>
      </c>
      <c r="I10" s="92">
        <v>16350</v>
      </c>
    </row>
    <row r="11" spans="1:9" ht="9.6" customHeight="1"/>
    <row r="12" spans="1:9" s="97" customFormat="1" ht="12">
      <c r="A12" s="95"/>
      <c r="B12" s="96">
        <v>4</v>
      </c>
      <c r="C12" s="96">
        <v>4</v>
      </c>
      <c r="D12" s="96">
        <v>4</v>
      </c>
      <c r="E12" s="78" t="s">
        <v>330</v>
      </c>
      <c r="F12" s="79" t="s">
        <v>331</v>
      </c>
      <c r="G12" s="80" t="s">
        <v>324</v>
      </c>
      <c r="H12" s="81">
        <v>47239.6</v>
      </c>
      <c r="I12" s="82">
        <v>60959.481919999998</v>
      </c>
    </row>
    <row r="13" spans="1:9" s="97" customFormat="1" ht="12">
      <c r="A13" s="98"/>
      <c r="B13" s="83">
        <v>4</v>
      </c>
      <c r="C13" s="83">
        <v>4</v>
      </c>
      <c r="D13" s="83">
        <v>4</v>
      </c>
      <c r="E13" s="84" t="s">
        <v>330</v>
      </c>
      <c r="F13" s="85">
        <v>7768270190</v>
      </c>
      <c r="G13" s="86" t="s">
        <v>209</v>
      </c>
      <c r="H13" s="87">
        <v>18451.151999999998</v>
      </c>
      <c r="I13" s="87">
        <v>23519</v>
      </c>
    </row>
    <row r="14" spans="1:9" s="97" customFormat="1" ht="12">
      <c r="A14" s="98"/>
      <c r="B14" s="83">
        <v>4</v>
      </c>
      <c r="C14" s="83">
        <v>4</v>
      </c>
      <c r="D14" s="83">
        <v>4</v>
      </c>
      <c r="E14" s="84" t="s">
        <v>330</v>
      </c>
      <c r="F14" s="85">
        <v>7757180110</v>
      </c>
      <c r="G14" s="86" t="s">
        <v>175</v>
      </c>
      <c r="H14" s="87">
        <v>18534.88</v>
      </c>
      <c r="I14" s="87">
        <v>24450</v>
      </c>
    </row>
    <row r="15" spans="1:9" s="97" customFormat="1" ht="12">
      <c r="A15" s="99"/>
      <c r="B15" s="88">
        <v>4</v>
      </c>
      <c r="C15" s="88">
        <v>4</v>
      </c>
      <c r="D15" s="88">
        <v>4</v>
      </c>
      <c r="E15" s="89" t="s">
        <v>330</v>
      </c>
      <c r="F15" s="90">
        <v>7704330123</v>
      </c>
      <c r="G15" s="91" t="s">
        <v>290</v>
      </c>
      <c r="H15" s="92">
        <v>10253.567999999999</v>
      </c>
      <c r="I15" s="92">
        <v>12990.48192</v>
      </c>
    </row>
    <row r="16" spans="1:9" ht="9.6" customHeight="1">
      <c r="B16" s="64" t="s">
        <v>324</v>
      </c>
      <c r="C16" s="64" t="s">
        <v>324</v>
      </c>
      <c r="D16" s="64" t="s">
        <v>324</v>
      </c>
      <c r="E16" s="65" t="s">
        <v>324</v>
      </c>
      <c r="F16" s="64" t="s">
        <v>324</v>
      </c>
      <c r="G16" s="64" t="s">
        <v>324</v>
      </c>
      <c r="H16" s="66" t="s">
        <v>324</v>
      </c>
      <c r="I16" s="66" t="s">
        <v>324</v>
      </c>
    </row>
    <row r="17" spans="2:9" s="97" customFormat="1" ht="12">
      <c r="B17" s="100">
        <v>22</v>
      </c>
      <c r="C17" s="100">
        <v>15</v>
      </c>
      <c r="D17" s="100">
        <v>12</v>
      </c>
      <c r="E17" s="78" t="s">
        <v>332</v>
      </c>
      <c r="F17" s="79" t="s">
        <v>333</v>
      </c>
      <c r="G17" s="80" t="s">
        <v>324</v>
      </c>
      <c r="H17" s="81">
        <v>39265.455999999998</v>
      </c>
      <c r="I17" s="82">
        <v>51421.516159999999</v>
      </c>
    </row>
    <row r="18" spans="2:9" s="97" customFormat="1" ht="12">
      <c r="B18" s="83">
        <v>22</v>
      </c>
      <c r="C18" s="83">
        <v>15</v>
      </c>
      <c r="D18" s="83">
        <v>12</v>
      </c>
      <c r="E18" s="84" t="s">
        <v>332</v>
      </c>
      <c r="F18" s="85">
        <v>7768280102</v>
      </c>
      <c r="G18" s="86" t="s">
        <v>213</v>
      </c>
      <c r="H18" s="87">
        <v>19831.392</v>
      </c>
      <c r="I18" s="87">
        <v>26192</v>
      </c>
    </row>
    <row r="19" spans="2:9" s="97" customFormat="1" ht="12">
      <c r="B19" s="83">
        <v>22</v>
      </c>
      <c r="C19" s="83">
        <v>15</v>
      </c>
      <c r="D19" s="83">
        <v>12</v>
      </c>
      <c r="E19" s="84" t="s">
        <v>332</v>
      </c>
      <c r="F19" s="85">
        <v>7763680103</v>
      </c>
      <c r="G19" s="86" t="s">
        <v>77</v>
      </c>
      <c r="H19" s="87">
        <v>11549.2</v>
      </c>
      <c r="I19" s="87">
        <v>15240</v>
      </c>
    </row>
    <row r="20" spans="2:9" s="97" customFormat="1" ht="12">
      <c r="B20" s="83">
        <v>22</v>
      </c>
      <c r="C20" s="83">
        <v>15</v>
      </c>
      <c r="D20" s="83">
        <v>12</v>
      </c>
      <c r="E20" s="89" t="s">
        <v>332</v>
      </c>
      <c r="F20" s="90">
        <v>7704330124</v>
      </c>
      <c r="G20" s="91" t="s">
        <v>291</v>
      </c>
      <c r="H20" s="92">
        <v>7884.8639999999996</v>
      </c>
      <c r="I20" s="92">
        <v>9989.516160000001</v>
      </c>
    </row>
    <row r="22" spans="2:9" s="97" customFormat="1" ht="12">
      <c r="B22" s="100">
        <v>22</v>
      </c>
      <c r="C22" s="100">
        <v>15</v>
      </c>
      <c r="D22" s="100">
        <v>12</v>
      </c>
      <c r="E22" s="78" t="s">
        <v>334</v>
      </c>
      <c r="F22" s="79" t="s">
        <v>335</v>
      </c>
      <c r="G22" s="80" t="s">
        <v>324</v>
      </c>
      <c r="H22" s="81">
        <v>42339.28</v>
      </c>
      <c r="I22" s="82">
        <v>56072</v>
      </c>
    </row>
    <row r="23" spans="2:9" s="97" customFormat="1" ht="12">
      <c r="B23" s="83">
        <v>22</v>
      </c>
      <c r="C23" s="83">
        <v>15</v>
      </c>
      <c r="D23" s="83">
        <v>12</v>
      </c>
      <c r="E23" s="84" t="s">
        <v>334</v>
      </c>
      <c r="F23" s="85">
        <v>7768280101</v>
      </c>
      <c r="G23" s="86" t="s">
        <v>214</v>
      </c>
      <c r="H23" s="87">
        <v>19831.392</v>
      </c>
      <c r="I23" s="87">
        <v>26192</v>
      </c>
    </row>
    <row r="24" spans="2:9" s="97" customFormat="1" ht="12">
      <c r="B24" s="83">
        <v>22</v>
      </c>
      <c r="C24" s="83">
        <v>15</v>
      </c>
      <c r="D24" s="83">
        <v>12</v>
      </c>
      <c r="E24" s="84" t="s">
        <v>334</v>
      </c>
      <c r="F24" s="85">
        <v>7763680102</v>
      </c>
      <c r="G24" s="86" t="s">
        <v>143</v>
      </c>
      <c r="H24" s="87">
        <v>11549.2</v>
      </c>
      <c r="I24" s="87">
        <v>15240</v>
      </c>
    </row>
    <row r="25" spans="2:9" s="97" customFormat="1" ht="12">
      <c r="B25" s="83">
        <v>22</v>
      </c>
      <c r="C25" s="83">
        <v>15</v>
      </c>
      <c r="D25" s="83">
        <v>12</v>
      </c>
      <c r="E25" s="89" t="s">
        <v>334</v>
      </c>
      <c r="F25" s="93">
        <v>7704330116</v>
      </c>
      <c r="G25" s="94" t="s">
        <v>151</v>
      </c>
      <c r="H25" s="92">
        <v>10958.688</v>
      </c>
      <c r="I25" s="92">
        <v>14640</v>
      </c>
    </row>
    <row r="27" spans="2:9" s="97" customFormat="1" ht="12">
      <c r="B27" s="100">
        <v>22</v>
      </c>
      <c r="C27" s="100">
        <v>15</v>
      </c>
      <c r="D27" s="100">
        <v>12</v>
      </c>
      <c r="E27" s="78" t="s">
        <v>336</v>
      </c>
      <c r="F27" s="79" t="s">
        <v>337</v>
      </c>
      <c r="G27" s="80" t="s">
        <v>324</v>
      </c>
      <c r="H27" s="81">
        <v>38158.480000000003</v>
      </c>
      <c r="I27" s="82">
        <v>50342</v>
      </c>
    </row>
    <row r="28" spans="2:9" s="97" customFormat="1" ht="12">
      <c r="B28" s="83">
        <v>22</v>
      </c>
      <c r="C28" s="83">
        <v>15</v>
      </c>
      <c r="D28" s="83">
        <v>12</v>
      </c>
      <c r="E28" s="84" t="s">
        <v>336</v>
      </c>
      <c r="F28" s="85">
        <v>7768280101</v>
      </c>
      <c r="G28" s="86" t="s">
        <v>214</v>
      </c>
      <c r="H28" s="87">
        <v>19831.392</v>
      </c>
      <c r="I28" s="87">
        <v>26192</v>
      </c>
    </row>
    <row r="29" spans="2:9" s="97" customFormat="1" ht="12">
      <c r="B29" s="83">
        <v>22</v>
      </c>
      <c r="C29" s="83">
        <v>15</v>
      </c>
      <c r="D29" s="83">
        <v>12</v>
      </c>
      <c r="E29" s="84" t="s">
        <v>336</v>
      </c>
      <c r="F29" s="85">
        <v>7763680102</v>
      </c>
      <c r="G29" s="86" t="s">
        <v>143</v>
      </c>
      <c r="H29" s="87">
        <v>11549.2</v>
      </c>
      <c r="I29" s="87">
        <v>15240</v>
      </c>
    </row>
    <row r="30" spans="2:9" s="97" customFormat="1" ht="12">
      <c r="B30" s="83">
        <v>22</v>
      </c>
      <c r="C30" s="83">
        <v>15</v>
      </c>
      <c r="D30" s="83">
        <v>12</v>
      </c>
      <c r="E30" s="89" t="s">
        <v>336</v>
      </c>
      <c r="F30" s="101">
        <v>9210531100</v>
      </c>
      <c r="G30" s="102" t="s">
        <v>134</v>
      </c>
      <c r="H30" s="92">
        <v>6777.8879999999999</v>
      </c>
      <c r="I30" s="92">
        <v>8910</v>
      </c>
    </row>
    <row r="32" spans="2:9" s="97" customFormat="1" ht="12">
      <c r="B32" s="100">
        <v>22</v>
      </c>
      <c r="C32" s="100">
        <v>15</v>
      </c>
      <c r="D32" s="100">
        <v>12</v>
      </c>
      <c r="E32" s="78" t="s">
        <v>338</v>
      </c>
      <c r="F32" s="79" t="s">
        <v>339</v>
      </c>
      <c r="G32" s="80" t="s">
        <v>324</v>
      </c>
      <c r="H32" s="81">
        <v>37272.191999999995</v>
      </c>
      <c r="I32" s="82">
        <v>48572</v>
      </c>
    </row>
    <row r="33" spans="2:9" s="97" customFormat="1" ht="12">
      <c r="B33" s="83">
        <v>22</v>
      </c>
      <c r="C33" s="83">
        <v>15</v>
      </c>
      <c r="D33" s="83">
        <v>12</v>
      </c>
      <c r="E33" s="84" t="s">
        <v>338</v>
      </c>
      <c r="F33" s="85">
        <v>7768280101</v>
      </c>
      <c r="G33" s="86" t="s">
        <v>214</v>
      </c>
      <c r="H33" s="87">
        <v>19831.392</v>
      </c>
      <c r="I33" s="87">
        <v>26192</v>
      </c>
    </row>
    <row r="34" spans="2:9" s="97" customFormat="1" ht="12">
      <c r="B34" s="100">
        <v>22</v>
      </c>
      <c r="C34" s="100">
        <v>15</v>
      </c>
      <c r="D34" s="100">
        <v>12</v>
      </c>
      <c r="E34" s="78" t="s">
        <v>340</v>
      </c>
      <c r="F34" s="79" t="s">
        <v>341</v>
      </c>
      <c r="G34" s="80" t="s">
        <v>324</v>
      </c>
      <c r="H34" s="81">
        <v>41634.160000000003</v>
      </c>
      <c r="I34" s="82">
        <v>54453.481919999998</v>
      </c>
    </row>
    <row r="35" spans="2:9" s="97" customFormat="1" ht="12">
      <c r="B35" s="83">
        <v>22</v>
      </c>
      <c r="C35" s="83">
        <v>15</v>
      </c>
      <c r="D35" s="83">
        <v>12</v>
      </c>
      <c r="E35" s="84" t="s">
        <v>340</v>
      </c>
      <c r="F35" s="85">
        <v>7768280104</v>
      </c>
      <c r="G35" s="86" t="s">
        <v>215</v>
      </c>
      <c r="H35" s="87">
        <v>19831.392</v>
      </c>
      <c r="I35" s="87">
        <v>26223</v>
      </c>
    </row>
    <row r="36" spans="2:9" s="97" customFormat="1" ht="12">
      <c r="B36" s="83">
        <v>22</v>
      </c>
      <c r="C36" s="83">
        <v>15</v>
      </c>
      <c r="D36" s="83">
        <v>12</v>
      </c>
      <c r="E36" s="84" t="s">
        <v>340</v>
      </c>
      <c r="F36" s="85">
        <v>7763670152</v>
      </c>
      <c r="G36" s="86" t="s">
        <v>12</v>
      </c>
      <c r="H36" s="87">
        <v>11549.2</v>
      </c>
      <c r="I36" s="87">
        <v>15240</v>
      </c>
    </row>
    <row r="37" spans="2:9" s="97" customFormat="1" ht="12">
      <c r="B37" s="83">
        <v>22</v>
      </c>
      <c r="C37" s="83">
        <v>15</v>
      </c>
      <c r="D37" s="83">
        <v>12</v>
      </c>
      <c r="E37" s="89" t="s">
        <v>340</v>
      </c>
      <c r="F37" s="90">
        <v>7704330122</v>
      </c>
      <c r="G37" s="91" t="s">
        <v>289</v>
      </c>
      <c r="H37" s="92">
        <v>10253.567999999999</v>
      </c>
      <c r="I37" s="92">
        <v>12990.48192</v>
      </c>
    </row>
    <row r="39" spans="2:9" s="97" customFormat="1" ht="12">
      <c r="B39" s="100">
        <v>22</v>
      </c>
      <c r="C39" s="100">
        <v>15</v>
      </c>
      <c r="D39" s="100">
        <v>12</v>
      </c>
      <c r="E39" s="78" t="s">
        <v>342</v>
      </c>
      <c r="F39" s="79" t="s">
        <v>343</v>
      </c>
      <c r="G39" s="80" t="s">
        <v>324</v>
      </c>
      <c r="H39" s="81">
        <v>43529.872000000003</v>
      </c>
      <c r="I39" s="82">
        <v>57813</v>
      </c>
    </row>
    <row r="40" spans="2:9" s="97" customFormat="1" ht="12">
      <c r="B40" s="83">
        <v>22</v>
      </c>
      <c r="C40" s="83">
        <v>15</v>
      </c>
      <c r="D40" s="83">
        <v>12</v>
      </c>
      <c r="E40" s="84" t="s">
        <v>342</v>
      </c>
      <c r="F40" s="85">
        <v>7768280103</v>
      </c>
      <c r="G40" s="86" t="s">
        <v>216</v>
      </c>
      <c r="H40" s="87">
        <v>19831.392</v>
      </c>
      <c r="I40" s="87">
        <v>26223</v>
      </c>
    </row>
    <row r="41" spans="2:9" s="97" customFormat="1" ht="12">
      <c r="B41" s="83">
        <v>22</v>
      </c>
      <c r="C41" s="83">
        <v>15</v>
      </c>
      <c r="D41" s="83">
        <v>12</v>
      </c>
      <c r="E41" s="84" t="s">
        <v>342</v>
      </c>
      <c r="F41" s="85">
        <v>7763670160</v>
      </c>
      <c r="G41" s="86" t="s">
        <v>11</v>
      </c>
      <c r="H41" s="87">
        <v>11549.2</v>
      </c>
      <c r="I41" s="87">
        <v>15240</v>
      </c>
    </row>
    <row r="42" spans="2:9" s="97" customFormat="1" ht="12">
      <c r="B42" s="83">
        <v>22</v>
      </c>
      <c r="C42" s="83">
        <v>15</v>
      </c>
      <c r="D42" s="83">
        <v>12</v>
      </c>
      <c r="E42" s="89" t="s">
        <v>342</v>
      </c>
      <c r="F42" s="93">
        <v>7704331102</v>
      </c>
      <c r="G42" s="94" t="s">
        <v>39</v>
      </c>
      <c r="H42" s="92">
        <v>12149.28</v>
      </c>
      <c r="I42" s="92">
        <v>16350</v>
      </c>
    </row>
    <row r="43" spans="2:9" ht="5.0999999999999996" customHeight="1">
      <c r="B43" s="72"/>
      <c r="C43" s="72"/>
      <c r="D43" s="72"/>
      <c r="E43" s="73"/>
      <c r="F43" s="74"/>
      <c r="G43" s="74"/>
      <c r="H43" s="75"/>
      <c r="I43" s="75"/>
    </row>
    <row r="44" spans="2:9" s="97" customFormat="1" ht="12">
      <c r="B44" s="100">
        <v>2</v>
      </c>
      <c r="C44" s="100">
        <v>2</v>
      </c>
      <c r="D44" s="100">
        <v>2</v>
      </c>
      <c r="E44" s="78" t="s">
        <v>344</v>
      </c>
      <c r="F44" s="79" t="s">
        <v>345</v>
      </c>
      <c r="G44" s="80" t="s">
        <v>324</v>
      </c>
      <c r="H44" s="103">
        <v>46596.207999999999</v>
      </c>
      <c r="I44" s="104">
        <v>61832</v>
      </c>
    </row>
    <row r="45" spans="2:9" s="97" customFormat="1" ht="12">
      <c r="B45" s="83">
        <v>2</v>
      </c>
      <c r="C45" s="83">
        <v>2</v>
      </c>
      <c r="D45" s="83">
        <v>2</v>
      </c>
      <c r="E45" s="84" t="s">
        <v>344</v>
      </c>
      <c r="F45" s="85">
        <v>7779420289</v>
      </c>
      <c r="G45" s="86" t="s">
        <v>257</v>
      </c>
      <c r="H45" s="87">
        <v>22897.727999999999</v>
      </c>
      <c r="I45" s="87">
        <v>30242</v>
      </c>
    </row>
    <row r="46" spans="2:9" s="97" customFormat="1" ht="12">
      <c r="B46" s="83">
        <v>2</v>
      </c>
      <c r="C46" s="83">
        <v>2</v>
      </c>
      <c r="D46" s="83">
        <v>2</v>
      </c>
      <c r="E46" s="84" t="s">
        <v>344</v>
      </c>
      <c r="F46" s="85">
        <v>7763680102</v>
      </c>
      <c r="G46" s="86" t="s">
        <v>143</v>
      </c>
      <c r="H46" s="87">
        <v>11549.2</v>
      </c>
      <c r="I46" s="87">
        <v>15240</v>
      </c>
    </row>
    <row r="47" spans="2:9" s="97" customFormat="1" ht="12">
      <c r="B47" s="83">
        <v>2</v>
      </c>
      <c r="C47" s="83">
        <v>2</v>
      </c>
      <c r="D47" s="83">
        <v>2</v>
      </c>
      <c r="E47" s="89" t="s">
        <v>344</v>
      </c>
      <c r="F47" s="93">
        <v>7704331102</v>
      </c>
      <c r="G47" s="94" t="s">
        <v>39</v>
      </c>
      <c r="H47" s="87">
        <v>12149.28</v>
      </c>
      <c r="I47" s="87">
        <v>16350</v>
      </c>
    </row>
    <row r="48" spans="2:9" ht="5.0999999999999996" customHeight="1">
      <c r="B48" s="72" t="s">
        <v>324</v>
      </c>
      <c r="C48" s="72" t="s">
        <v>324</v>
      </c>
      <c r="D48" s="72" t="s">
        <v>324</v>
      </c>
      <c r="E48" s="73" t="s">
        <v>324</v>
      </c>
      <c r="F48" s="74" t="s">
        <v>324</v>
      </c>
      <c r="G48" s="74" t="s">
        <v>324</v>
      </c>
      <c r="H48" s="75" t="s">
        <v>324</v>
      </c>
      <c r="I48" s="75" t="s">
        <v>324</v>
      </c>
    </row>
    <row r="49" spans="2:9" s="97" customFormat="1" ht="12">
      <c r="B49" s="100">
        <v>3</v>
      </c>
      <c r="C49" s="100">
        <v>3</v>
      </c>
      <c r="D49" s="100">
        <v>3</v>
      </c>
      <c r="E49" s="78" t="s">
        <v>346</v>
      </c>
      <c r="F49" s="79" t="s">
        <v>347</v>
      </c>
      <c r="G49" s="80" t="s">
        <v>324</v>
      </c>
      <c r="H49" s="103">
        <v>44700.495999999999</v>
      </c>
      <c r="I49" s="104">
        <v>58472.481919999998</v>
      </c>
    </row>
    <row r="50" spans="2:9" s="97" customFormat="1" ht="12">
      <c r="B50" s="83">
        <v>3</v>
      </c>
      <c r="C50" s="83">
        <v>3</v>
      </c>
      <c r="D50" s="83">
        <v>3</v>
      </c>
      <c r="E50" s="84" t="s">
        <v>346</v>
      </c>
      <c r="F50" s="85">
        <v>7779420287</v>
      </c>
      <c r="G50" s="86" t="s">
        <v>256</v>
      </c>
      <c r="H50" s="87">
        <v>22897.727999999999</v>
      </c>
      <c r="I50" s="87">
        <v>30242</v>
      </c>
    </row>
    <row r="51" spans="2:9" s="97" customFormat="1" ht="12">
      <c r="B51" s="83">
        <v>3</v>
      </c>
      <c r="C51" s="83">
        <v>3</v>
      </c>
      <c r="D51" s="83">
        <v>3</v>
      </c>
      <c r="E51" s="84" t="s">
        <v>346</v>
      </c>
      <c r="F51" s="85">
        <v>7763680103</v>
      </c>
      <c r="G51" s="86" t="s">
        <v>77</v>
      </c>
      <c r="H51" s="87">
        <v>11549.2</v>
      </c>
      <c r="I51" s="87">
        <v>15240</v>
      </c>
    </row>
    <row r="52" spans="2:9" s="97" customFormat="1" ht="12">
      <c r="B52" s="83">
        <v>3</v>
      </c>
      <c r="C52" s="83">
        <v>3</v>
      </c>
      <c r="D52" s="83">
        <v>3</v>
      </c>
      <c r="E52" s="89" t="s">
        <v>346</v>
      </c>
      <c r="F52" s="90">
        <v>7704330122</v>
      </c>
      <c r="G52" s="91" t="s">
        <v>289</v>
      </c>
      <c r="H52" s="87">
        <v>10253.567999999999</v>
      </c>
      <c r="I52" s="87">
        <v>12990.48192</v>
      </c>
    </row>
    <row r="53" spans="2:9" ht="5.0999999999999996" customHeight="1">
      <c r="B53" s="72" t="s">
        <v>324</v>
      </c>
      <c r="C53" s="72" t="s">
        <v>324</v>
      </c>
      <c r="D53" s="72" t="s">
        <v>324</v>
      </c>
      <c r="E53" s="73" t="s">
        <v>324</v>
      </c>
      <c r="F53" s="74" t="s">
        <v>324</v>
      </c>
      <c r="G53" s="74" t="s">
        <v>324</v>
      </c>
      <c r="H53" s="75" t="s">
        <v>324</v>
      </c>
      <c r="I53" s="75" t="s">
        <v>324</v>
      </c>
    </row>
    <row r="54" spans="2:9" s="97" customFormat="1" ht="12">
      <c r="B54" s="100">
        <v>3</v>
      </c>
      <c r="C54" s="100">
        <v>3</v>
      </c>
      <c r="D54" s="100">
        <v>3</v>
      </c>
      <c r="E54" s="78" t="s">
        <v>348</v>
      </c>
      <c r="F54" s="79" t="s">
        <v>349</v>
      </c>
      <c r="G54" s="80" t="s">
        <v>324</v>
      </c>
      <c r="H54" s="103">
        <v>42331.792000000001</v>
      </c>
      <c r="I54" s="104">
        <v>55471.516159999999</v>
      </c>
    </row>
    <row r="55" spans="2:9" s="97" customFormat="1" ht="12">
      <c r="B55" s="83">
        <v>3</v>
      </c>
      <c r="C55" s="83">
        <v>3</v>
      </c>
      <c r="D55" s="83">
        <v>3</v>
      </c>
      <c r="E55" s="84" t="s">
        <v>348</v>
      </c>
      <c r="F55" s="85">
        <v>7779420287</v>
      </c>
      <c r="G55" s="86" t="s">
        <v>256</v>
      </c>
      <c r="H55" s="87">
        <v>22897.727999999999</v>
      </c>
      <c r="I55" s="87">
        <v>30242</v>
      </c>
    </row>
    <row r="56" spans="2:9" s="97" customFormat="1" ht="12">
      <c r="B56" s="83">
        <v>3</v>
      </c>
      <c r="C56" s="83">
        <v>3</v>
      </c>
      <c r="D56" s="83">
        <v>3</v>
      </c>
      <c r="E56" s="84" t="s">
        <v>348</v>
      </c>
      <c r="F56" s="85">
        <v>7763670152</v>
      </c>
      <c r="G56" s="86" t="s">
        <v>12</v>
      </c>
      <c r="H56" s="87">
        <v>11549.2</v>
      </c>
      <c r="I56" s="87">
        <v>15240</v>
      </c>
    </row>
    <row r="57" spans="2:9" s="97" customFormat="1" ht="12">
      <c r="B57" s="83">
        <v>3</v>
      </c>
      <c r="C57" s="83">
        <v>3</v>
      </c>
      <c r="D57" s="83">
        <v>3</v>
      </c>
      <c r="E57" s="89" t="s">
        <v>348</v>
      </c>
      <c r="F57" s="90">
        <v>7704330124</v>
      </c>
      <c r="G57" s="91" t="s">
        <v>291</v>
      </c>
      <c r="H57" s="87">
        <v>7884.8639999999996</v>
      </c>
      <c r="I57" s="87">
        <v>9989.516160000001</v>
      </c>
    </row>
    <row r="58" spans="2:9" ht="5.0999999999999996" customHeight="1">
      <c r="B58" s="72" t="s">
        <v>324</v>
      </c>
      <c r="C58" s="72" t="s">
        <v>324</v>
      </c>
      <c r="D58" s="72" t="s">
        <v>324</v>
      </c>
      <c r="E58" s="73" t="s">
        <v>324</v>
      </c>
      <c r="F58" s="74" t="s">
        <v>324</v>
      </c>
      <c r="G58" s="74"/>
      <c r="H58" s="75" t="s">
        <v>324</v>
      </c>
      <c r="I58" s="75" t="s">
        <v>324</v>
      </c>
    </row>
    <row r="59" spans="2:9" s="97" customFormat="1" ht="12">
      <c r="B59" s="100">
        <v>2</v>
      </c>
      <c r="C59" s="100">
        <v>2</v>
      </c>
      <c r="D59" s="100">
        <v>2</v>
      </c>
      <c r="E59" s="78" t="s">
        <v>350</v>
      </c>
      <c r="F59" s="79" t="s">
        <v>351</v>
      </c>
      <c r="G59" s="80" t="s">
        <v>324</v>
      </c>
      <c r="H59" s="81">
        <v>55354.047999999995</v>
      </c>
      <c r="I59" s="82">
        <v>73382</v>
      </c>
    </row>
    <row r="60" spans="2:9" s="97" customFormat="1" ht="12">
      <c r="B60" s="83">
        <v>2</v>
      </c>
      <c r="C60" s="83">
        <v>2</v>
      </c>
      <c r="D60" s="83">
        <v>2</v>
      </c>
      <c r="E60" s="84" t="s">
        <v>350</v>
      </c>
      <c r="F60" s="85">
        <v>7779420289</v>
      </c>
      <c r="G60" s="86" t="s">
        <v>257</v>
      </c>
      <c r="H60" s="87">
        <v>22897.727999999999</v>
      </c>
      <c r="I60" s="87">
        <v>30242</v>
      </c>
    </row>
    <row r="61" spans="2:9" s="97" customFormat="1" ht="12">
      <c r="B61" s="83">
        <v>2</v>
      </c>
      <c r="C61" s="83">
        <v>2</v>
      </c>
      <c r="D61" s="83">
        <v>2</v>
      </c>
      <c r="E61" s="84" t="s">
        <v>350</v>
      </c>
      <c r="F61" s="85">
        <v>7763680121</v>
      </c>
      <c r="G61" s="86" t="s">
        <v>65</v>
      </c>
      <c r="H61" s="87">
        <v>20307.04</v>
      </c>
      <c r="I61" s="87">
        <v>26790</v>
      </c>
    </row>
    <row r="62" spans="2:9" s="97" customFormat="1" ht="12">
      <c r="B62" s="83">
        <v>2</v>
      </c>
      <c r="C62" s="83">
        <v>2</v>
      </c>
      <c r="D62" s="83">
        <v>2</v>
      </c>
      <c r="E62" s="89" t="s">
        <v>350</v>
      </c>
      <c r="F62" s="93">
        <v>7704331102</v>
      </c>
      <c r="G62" s="94" t="s">
        <v>39</v>
      </c>
      <c r="H62" s="92">
        <v>12149.28</v>
      </c>
      <c r="I62" s="92">
        <v>16350</v>
      </c>
    </row>
    <row r="63" spans="2:9" ht="5.0999999999999996" customHeight="1">
      <c r="B63" s="72" t="s">
        <v>324</v>
      </c>
      <c r="C63" s="72" t="s">
        <v>324</v>
      </c>
      <c r="D63" s="72" t="s">
        <v>324</v>
      </c>
      <c r="E63" s="73" t="s">
        <v>324</v>
      </c>
      <c r="F63" s="74" t="s">
        <v>324</v>
      </c>
      <c r="G63" s="74" t="s">
        <v>324</v>
      </c>
      <c r="H63" s="75" t="s">
        <v>324</v>
      </c>
      <c r="I63" s="75" t="s">
        <v>324</v>
      </c>
    </row>
    <row r="64" spans="2:9" s="97" customFormat="1" ht="12">
      <c r="B64" s="100">
        <v>3</v>
      </c>
      <c r="C64" s="100">
        <v>3</v>
      </c>
      <c r="D64" s="100">
        <v>3</v>
      </c>
      <c r="E64" s="78" t="s">
        <v>352</v>
      </c>
      <c r="F64" s="79" t="s">
        <v>353</v>
      </c>
      <c r="G64" s="80" t="s">
        <v>324</v>
      </c>
      <c r="H64" s="81">
        <v>53458.335999999996</v>
      </c>
      <c r="I64" s="82">
        <v>70022.481920000006</v>
      </c>
    </row>
    <row r="65" spans="2:9" s="97" customFormat="1" ht="12">
      <c r="B65" s="83">
        <v>3</v>
      </c>
      <c r="C65" s="83">
        <v>3</v>
      </c>
      <c r="D65" s="83">
        <v>3</v>
      </c>
      <c r="E65" s="84" t="s">
        <v>352</v>
      </c>
      <c r="F65" s="85">
        <v>7779420287</v>
      </c>
      <c r="G65" s="86" t="s">
        <v>256</v>
      </c>
      <c r="H65" s="87">
        <v>22897.727999999999</v>
      </c>
      <c r="I65" s="87">
        <v>30242</v>
      </c>
    </row>
    <row r="66" spans="2:9" s="97" customFormat="1" ht="12">
      <c r="B66" s="83">
        <v>3</v>
      </c>
      <c r="C66" s="83">
        <v>3</v>
      </c>
      <c r="D66" s="83">
        <v>3</v>
      </c>
      <c r="E66" s="84" t="s">
        <v>352</v>
      </c>
      <c r="F66" s="85">
        <v>7763680120</v>
      </c>
      <c r="G66" s="86" t="s">
        <v>63</v>
      </c>
      <c r="H66" s="87">
        <v>20307.04</v>
      </c>
      <c r="I66" s="87">
        <v>26790</v>
      </c>
    </row>
    <row r="67" spans="2:9" s="97" customFormat="1" ht="12">
      <c r="B67" s="83">
        <v>3</v>
      </c>
      <c r="C67" s="83">
        <v>3</v>
      </c>
      <c r="D67" s="83">
        <v>3</v>
      </c>
      <c r="E67" s="89" t="s">
        <v>352</v>
      </c>
      <c r="F67" s="90">
        <v>7704330122</v>
      </c>
      <c r="G67" s="91" t="s">
        <v>289</v>
      </c>
      <c r="H67" s="92">
        <v>10253.567999999999</v>
      </c>
      <c r="I67" s="92">
        <v>12990.48192</v>
      </c>
    </row>
    <row r="68" spans="2:9" ht="5.0999999999999996" customHeight="1">
      <c r="B68" s="72" t="s">
        <v>324</v>
      </c>
      <c r="C68" s="72" t="s">
        <v>324</v>
      </c>
      <c r="D68" s="72" t="s">
        <v>324</v>
      </c>
      <c r="E68" s="73" t="s">
        <v>324</v>
      </c>
      <c r="F68" s="74" t="s">
        <v>324</v>
      </c>
      <c r="G68" s="74"/>
      <c r="H68" s="75" t="s">
        <v>324</v>
      </c>
      <c r="I68" s="75" t="s">
        <v>324</v>
      </c>
    </row>
    <row r="69" spans="2:9">
      <c r="B69" s="76">
        <v>23</v>
      </c>
      <c r="C69" s="77">
        <v>11</v>
      </c>
      <c r="D69" s="76">
        <v>39</v>
      </c>
      <c r="E69" s="78" t="s">
        <v>354</v>
      </c>
      <c r="F69" s="79" t="s">
        <v>355</v>
      </c>
      <c r="G69" s="80" t="s">
        <v>324</v>
      </c>
      <c r="H69" s="81">
        <v>34519.152000000002</v>
      </c>
      <c r="I69" s="82">
        <v>43688.945200000104</v>
      </c>
    </row>
    <row r="70" spans="2:9">
      <c r="B70" s="83">
        <v>23</v>
      </c>
      <c r="C70" s="83">
        <v>11</v>
      </c>
      <c r="D70" s="83">
        <v>39</v>
      </c>
      <c r="E70" s="105" t="s">
        <v>354</v>
      </c>
      <c r="F70" s="85">
        <v>7768270185</v>
      </c>
      <c r="G70" s="86" t="s">
        <v>208</v>
      </c>
      <c r="H70" s="87">
        <v>18451.151999999998</v>
      </c>
      <c r="I70" s="87">
        <v>23519</v>
      </c>
    </row>
    <row r="71" spans="2:9">
      <c r="B71" s="83">
        <v>23</v>
      </c>
      <c r="C71" s="83">
        <v>11</v>
      </c>
      <c r="D71" s="83">
        <v>39</v>
      </c>
      <c r="E71" s="105" t="s">
        <v>354</v>
      </c>
      <c r="F71" s="85">
        <v>7763680125</v>
      </c>
      <c r="G71" s="86" t="s">
        <v>75</v>
      </c>
      <c r="H71" s="87">
        <v>9097.92</v>
      </c>
      <c r="I71" s="87">
        <v>11340</v>
      </c>
    </row>
    <row r="72" spans="2:9">
      <c r="B72" s="88">
        <v>23</v>
      </c>
      <c r="C72" s="88">
        <v>11</v>
      </c>
      <c r="D72" s="88">
        <v>39</v>
      </c>
      <c r="E72" s="106" t="s">
        <v>354</v>
      </c>
      <c r="F72" s="90">
        <v>7704330120</v>
      </c>
      <c r="G72" s="91" t="s">
        <v>292</v>
      </c>
      <c r="H72" s="92">
        <v>6970.08</v>
      </c>
      <c r="I72" s="92">
        <v>8829.9452000001002</v>
      </c>
    </row>
    <row r="73" spans="2:9" ht="5.0999999999999996" customHeight="1">
      <c r="B73" s="72" t="s">
        <v>324</v>
      </c>
      <c r="C73" s="72" t="s">
        <v>324</v>
      </c>
      <c r="D73" s="72" t="s">
        <v>324</v>
      </c>
      <c r="E73" s="73" t="s">
        <v>324</v>
      </c>
      <c r="F73" s="74" t="s">
        <v>324</v>
      </c>
      <c r="G73" s="74" t="s">
        <v>324</v>
      </c>
      <c r="H73" s="75" t="s">
        <v>324</v>
      </c>
      <c r="I73" s="75" t="s">
        <v>324</v>
      </c>
    </row>
    <row r="74" spans="2:9" s="97" customFormat="1" ht="12">
      <c r="B74" s="100">
        <v>22</v>
      </c>
      <c r="C74" s="100">
        <v>15</v>
      </c>
      <c r="D74" s="100">
        <v>12</v>
      </c>
      <c r="E74" s="78" t="s">
        <v>356</v>
      </c>
      <c r="F74" s="79" t="s">
        <v>357</v>
      </c>
      <c r="G74" s="80" t="s">
        <v>324</v>
      </c>
      <c r="H74" s="81">
        <v>38343.232000000004</v>
      </c>
      <c r="I74" s="82">
        <v>49799</v>
      </c>
    </row>
    <row r="75" spans="2:9" s="97" customFormat="1" ht="12">
      <c r="B75" s="83">
        <v>22</v>
      </c>
      <c r="C75" s="83">
        <v>15</v>
      </c>
      <c r="D75" s="83">
        <v>12</v>
      </c>
      <c r="E75" s="84" t="s">
        <v>356</v>
      </c>
      <c r="F75" s="85">
        <v>7768270204</v>
      </c>
      <c r="G75" s="86" t="s">
        <v>211</v>
      </c>
      <c r="H75" s="87">
        <v>18451.151999999998</v>
      </c>
      <c r="I75" s="87">
        <v>23519</v>
      </c>
    </row>
    <row r="76" spans="2:9" s="97" customFormat="1" ht="12">
      <c r="B76" s="83">
        <v>22</v>
      </c>
      <c r="C76" s="83">
        <v>15</v>
      </c>
      <c r="D76" s="83">
        <v>12</v>
      </c>
      <c r="E76" s="84" t="s">
        <v>356</v>
      </c>
      <c r="F76" s="85">
        <v>7763680102</v>
      </c>
      <c r="G76" s="86" t="s">
        <v>143</v>
      </c>
      <c r="H76" s="87">
        <v>11549.2</v>
      </c>
      <c r="I76" s="87">
        <v>15240</v>
      </c>
    </row>
    <row r="77" spans="2:9" s="97" customFormat="1" ht="12">
      <c r="B77" s="83">
        <v>22</v>
      </c>
      <c r="C77" s="83">
        <v>15</v>
      </c>
      <c r="D77" s="83">
        <v>12</v>
      </c>
      <c r="E77" s="89" t="s">
        <v>356</v>
      </c>
      <c r="F77" s="93">
        <v>7704330234</v>
      </c>
      <c r="G77" s="94" t="s">
        <v>200</v>
      </c>
      <c r="H77" s="92">
        <v>8342.880000000001</v>
      </c>
      <c r="I77" s="92">
        <v>11040</v>
      </c>
    </row>
    <row r="78" spans="2:9" ht="7.5" customHeight="1"/>
    <row r="79" spans="2:9">
      <c r="B79" s="76">
        <v>14</v>
      </c>
      <c r="C79" s="77">
        <v>10</v>
      </c>
      <c r="D79" s="76">
        <v>40</v>
      </c>
      <c r="E79" s="78" t="s">
        <v>358</v>
      </c>
      <c r="F79" s="79" t="s">
        <v>359</v>
      </c>
      <c r="G79" s="80" t="s">
        <v>324</v>
      </c>
      <c r="H79" s="81">
        <v>49533.84</v>
      </c>
      <c r="I79" s="82">
        <v>63989.481919999998</v>
      </c>
    </row>
    <row r="80" spans="2:9">
      <c r="B80" s="83">
        <v>14</v>
      </c>
      <c r="C80" s="83">
        <v>10</v>
      </c>
      <c r="D80" s="83">
        <v>40</v>
      </c>
      <c r="E80" s="84" t="s">
        <v>358</v>
      </c>
      <c r="F80" s="85">
        <v>7768270190</v>
      </c>
      <c r="G80" s="86" t="s">
        <v>209</v>
      </c>
      <c r="H80" s="87">
        <v>18451.151999999998</v>
      </c>
      <c r="I80" s="87">
        <v>23519</v>
      </c>
    </row>
    <row r="81" spans="2:9">
      <c r="B81" s="83">
        <v>14</v>
      </c>
      <c r="C81" s="83">
        <v>10</v>
      </c>
      <c r="D81" s="83">
        <v>40</v>
      </c>
      <c r="E81" s="84" t="s">
        <v>358</v>
      </c>
      <c r="F81" s="85">
        <v>7762780103</v>
      </c>
      <c r="G81" s="86" t="s">
        <v>360</v>
      </c>
      <c r="H81" s="87">
        <v>20829.12</v>
      </c>
      <c r="I81" s="87">
        <v>27480</v>
      </c>
    </row>
    <row r="82" spans="2:9">
      <c r="B82" s="88">
        <v>14</v>
      </c>
      <c r="C82" s="88">
        <v>10</v>
      </c>
      <c r="D82" s="88">
        <v>40</v>
      </c>
      <c r="E82" s="89" t="s">
        <v>358</v>
      </c>
      <c r="F82" s="90">
        <v>7704330123</v>
      </c>
      <c r="G82" s="91" t="s">
        <v>290</v>
      </c>
      <c r="H82" s="92">
        <v>10253.567999999999</v>
      </c>
      <c r="I82" s="92">
        <v>12990.48192</v>
      </c>
    </row>
    <row r="83" spans="2:9" ht="7.5" customHeight="1"/>
    <row r="84" spans="2:9">
      <c r="B84" s="76">
        <v>14</v>
      </c>
      <c r="C84" s="77">
        <v>10</v>
      </c>
      <c r="D84" s="76">
        <v>40</v>
      </c>
      <c r="E84" s="78" t="s">
        <v>361</v>
      </c>
      <c r="F84" s="79" t="s">
        <v>362</v>
      </c>
      <c r="G84" s="80" t="s">
        <v>324</v>
      </c>
      <c r="H84" s="81">
        <v>35891.952000000005</v>
      </c>
      <c r="I84" s="82">
        <v>45899</v>
      </c>
    </row>
    <row r="85" spans="2:9">
      <c r="B85" s="83">
        <v>14</v>
      </c>
      <c r="C85" s="83">
        <v>10</v>
      </c>
      <c r="D85" s="83">
        <v>40</v>
      </c>
      <c r="E85" s="84" t="s">
        <v>361</v>
      </c>
      <c r="F85" s="85">
        <v>7768270190</v>
      </c>
      <c r="G85" s="86" t="s">
        <v>209</v>
      </c>
      <c r="H85" s="87">
        <v>18451.151999999998</v>
      </c>
      <c r="I85" s="87">
        <v>23519</v>
      </c>
    </row>
    <row r="86" spans="2:9">
      <c r="B86" s="83">
        <v>14</v>
      </c>
      <c r="C86" s="83">
        <v>10</v>
      </c>
      <c r="D86" s="83">
        <v>40</v>
      </c>
      <c r="E86" s="84" t="s">
        <v>361</v>
      </c>
      <c r="F86" s="85">
        <v>7763580126</v>
      </c>
      <c r="G86" s="86" t="s">
        <v>58</v>
      </c>
      <c r="H86" s="87">
        <v>9097.92</v>
      </c>
      <c r="I86" s="87">
        <v>11340</v>
      </c>
    </row>
    <row r="87" spans="2:9">
      <c r="B87" s="88">
        <v>14</v>
      </c>
      <c r="C87" s="88">
        <v>10</v>
      </c>
      <c r="D87" s="88">
        <v>40</v>
      </c>
      <c r="E87" s="89" t="s">
        <v>361</v>
      </c>
      <c r="F87" s="93">
        <v>7704330232</v>
      </c>
      <c r="G87" s="94" t="s">
        <v>197</v>
      </c>
      <c r="H87" s="92">
        <v>8342.880000000001</v>
      </c>
      <c r="I87" s="92">
        <v>11040</v>
      </c>
    </row>
    <row r="88" spans="2:9" ht="7.5" customHeight="1"/>
    <row r="89" spans="2:9" s="114" customFormat="1">
      <c r="B89" s="107" t="s">
        <v>324</v>
      </c>
      <c r="C89" s="108" t="s">
        <v>324</v>
      </c>
      <c r="D89" s="107"/>
      <c r="E89" s="109" t="s">
        <v>363</v>
      </c>
      <c r="F89" s="110" t="s">
        <v>364</v>
      </c>
      <c r="G89" s="111" t="s">
        <v>324</v>
      </c>
      <c r="H89" s="112">
        <v>11688.352000000001</v>
      </c>
      <c r="I89" s="113">
        <v>27599.124799999998</v>
      </c>
    </row>
    <row r="90" spans="2:9" s="114" customFormat="1">
      <c r="B90" s="115" t="s">
        <v>324</v>
      </c>
      <c r="C90" s="115" t="s">
        <v>324</v>
      </c>
      <c r="D90" s="115">
        <v>0</v>
      </c>
      <c r="E90" s="116" t="s">
        <v>363</v>
      </c>
      <c r="F90" s="117">
        <v>7768270241</v>
      </c>
      <c r="G90" s="118" t="s">
        <v>273</v>
      </c>
      <c r="H90" s="119">
        <v>0</v>
      </c>
      <c r="I90" s="87">
        <v>13009</v>
      </c>
    </row>
    <row r="91" spans="2:9" s="114" customFormat="1">
      <c r="B91" s="115" t="s">
        <v>324</v>
      </c>
      <c r="C91" s="115" t="s">
        <v>324</v>
      </c>
      <c r="D91" s="115">
        <v>0</v>
      </c>
      <c r="E91" s="116" t="s">
        <v>363</v>
      </c>
      <c r="F91" s="117">
        <v>7763580121</v>
      </c>
      <c r="G91" s="118" t="s">
        <v>365</v>
      </c>
      <c r="H91" s="119">
        <v>5886.4000000000005</v>
      </c>
      <c r="I91" s="119">
        <v>7360</v>
      </c>
    </row>
    <row r="92" spans="2:9" s="114" customFormat="1">
      <c r="B92" s="120" t="s">
        <v>324</v>
      </c>
      <c r="C92" s="120" t="s">
        <v>324</v>
      </c>
      <c r="D92" s="120">
        <v>0</v>
      </c>
      <c r="E92" s="121" t="s">
        <v>363</v>
      </c>
      <c r="F92" s="90">
        <v>7704330121</v>
      </c>
      <c r="G92" s="91" t="s">
        <v>293</v>
      </c>
      <c r="H92" s="122">
        <v>5801.9520000000002</v>
      </c>
      <c r="I92" s="122">
        <v>7230.1247999999996</v>
      </c>
    </row>
    <row r="93" spans="2:9" ht="5.0999999999999996" customHeight="1">
      <c r="B93" s="72" t="s">
        <v>324</v>
      </c>
      <c r="C93" s="72" t="s">
        <v>324</v>
      </c>
      <c r="D93" s="72" t="s">
        <v>324</v>
      </c>
      <c r="E93" s="73" t="s">
        <v>324</v>
      </c>
      <c r="F93" s="74" t="s">
        <v>324</v>
      </c>
      <c r="G93" s="74" t="s">
        <v>324</v>
      </c>
      <c r="H93" s="75" t="s">
        <v>324</v>
      </c>
      <c r="I93" s="75" t="s">
        <v>324</v>
      </c>
    </row>
    <row r="94" spans="2:9" s="97" customFormat="1" ht="12">
      <c r="B94" s="100">
        <v>27</v>
      </c>
      <c r="C94" s="100">
        <v>13</v>
      </c>
      <c r="D94" s="100">
        <v>15</v>
      </c>
      <c r="E94" s="123" t="s">
        <v>366</v>
      </c>
      <c r="F94" s="124" t="s">
        <v>367</v>
      </c>
      <c r="G94" s="125" t="s">
        <v>324</v>
      </c>
      <c r="H94" s="103">
        <v>24904.432000000001</v>
      </c>
      <c r="I94" s="104">
        <v>31779</v>
      </c>
    </row>
    <row r="95" spans="2:9" s="97" customFormat="1" ht="12">
      <c r="B95" s="83">
        <v>27</v>
      </c>
      <c r="C95" s="83">
        <v>13</v>
      </c>
      <c r="D95" s="83">
        <v>15</v>
      </c>
      <c r="E95" s="84" t="s">
        <v>366</v>
      </c>
      <c r="F95" s="85">
        <v>7768270161</v>
      </c>
      <c r="G95" s="86" t="s">
        <v>207</v>
      </c>
      <c r="H95" s="87">
        <v>14246.928000000002</v>
      </c>
      <c r="I95" s="87">
        <v>18149</v>
      </c>
    </row>
    <row r="96" spans="2:9" s="97" customFormat="1" ht="12">
      <c r="B96" s="83">
        <v>27</v>
      </c>
      <c r="C96" s="83">
        <v>13</v>
      </c>
      <c r="D96" s="83">
        <v>15</v>
      </c>
      <c r="E96" s="84" t="s">
        <v>366</v>
      </c>
      <c r="F96" s="85">
        <v>9209861100</v>
      </c>
      <c r="G96" s="86" t="s">
        <v>119</v>
      </c>
      <c r="H96" s="87">
        <v>4771.1039999999994</v>
      </c>
      <c r="I96" s="87">
        <v>6270</v>
      </c>
    </row>
    <row r="97" spans="2:9" ht="5.0999999999999996" customHeight="1">
      <c r="B97" s="72" t="s">
        <v>324</v>
      </c>
      <c r="C97" s="72" t="s">
        <v>324</v>
      </c>
      <c r="D97" s="72" t="s">
        <v>324</v>
      </c>
      <c r="E97" s="73" t="s">
        <v>324</v>
      </c>
      <c r="F97" s="74" t="s">
        <v>324</v>
      </c>
      <c r="G97" s="74" t="s">
        <v>324</v>
      </c>
      <c r="H97" s="75" t="s">
        <v>324</v>
      </c>
      <c r="I97" s="75" t="s">
        <v>324</v>
      </c>
    </row>
    <row r="98" spans="2:9" s="97" customFormat="1" ht="12">
      <c r="B98" s="100">
        <v>24</v>
      </c>
      <c r="C98" s="100">
        <v>14</v>
      </c>
      <c r="D98" s="100">
        <v>16</v>
      </c>
      <c r="E98" s="123" t="s">
        <v>369</v>
      </c>
      <c r="F98" s="79" t="s">
        <v>370</v>
      </c>
      <c r="G98" s="125" t="s">
        <v>324</v>
      </c>
      <c r="H98" s="103">
        <v>26923.696000000004</v>
      </c>
      <c r="I98" s="104">
        <v>33828.632480000102</v>
      </c>
    </row>
    <row r="99" spans="2:9" s="97" customFormat="1" ht="12">
      <c r="B99" s="83">
        <v>24</v>
      </c>
      <c r="C99" s="83">
        <v>14</v>
      </c>
      <c r="D99" s="83">
        <v>16</v>
      </c>
      <c r="E99" s="84" t="s">
        <v>369</v>
      </c>
      <c r="F99" s="85">
        <v>7768270161</v>
      </c>
      <c r="G99" s="86" t="s">
        <v>207</v>
      </c>
      <c r="H99" s="87">
        <v>14246.928000000002</v>
      </c>
      <c r="I99" s="87">
        <v>18149</v>
      </c>
    </row>
    <row r="100" spans="2:9" s="97" customFormat="1" ht="12">
      <c r="B100" s="83">
        <v>24</v>
      </c>
      <c r="C100" s="83">
        <v>14</v>
      </c>
      <c r="D100" s="83">
        <v>16</v>
      </c>
      <c r="E100" s="84" t="s">
        <v>369</v>
      </c>
      <c r="F100" s="85">
        <v>7768870119</v>
      </c>
      <c r="G100" s="86" t="s">
        <v>368</v>
      </c>
      <c r="H100" s="87">
        <v>5886.4000000000005</v>
      </c>
      <c r="I100" s="87">
        <v>7360</v>
      </c>
    </row>
    <row r="101" spans="2:9" s="97" customFormat="1" ht="12">
      <c r="B101" s="83">
        <v>24</v>
      </c>
      <c r="C101" s="83">
        <v>14</v>
      </c>
      <c r="D101" s="83">
        <v>16</v>
      </c>
      <c r="E101" s="84" t="s">
        <v>369</v>
      </c>
      <c r="F101" s="117">
        <v>9218011100</v>
      </c>
      <c r="G101" s="118" t="s">
        <v>299</v>
      </c>
      <c r="H101" s="87">
        <v>6790.3680000000004</v>
      </c>
      <c r="I101" s="87">
        <v>8319.6324800001003</v>
      </c>
    </row>
    <row r="102" spans="2:9" ht="5.0999999999999996" customHeight="1">
      <c r="B102" s="72" t="s">
        <v>324</v>
      </c>
      <c r="C102" s="72" t="s">
        <v>324</v>
      </c>
      <c r="D102" s="72" t="s">
        <v>324</v>
      </c>
      <c r="E102" s="73" t="s">
        <v>324</v>
      </c>
      <c r="F102" s="74" t="s">
        <v>324</v>
      </c>
      <c r="G102" s="74" t="s">
        <v>324</v>
      </c>
      <c r="H102" s="75" t="s">
        <v>324</v>
      </c>
      <c r="I102" s="75" t="s">
        <v>324</v>
      </c>
    </row>
    <row r="103" spans="2:9" s="97" customFormat="1" ht="12">
      <c r="B103" s="100">
        <v>26</v>
      </c>
      <c r="C103" s="100">
        <v>17</v>
      </c>
      <c r="D103" s="100">
        <v>14</v>
      </c>
      <c r="E103" s="123" t="s">
        <v>371</v>
      </c>
      <c r="F103" s="124" t="s">
        <v>372</v>
      </c>
      <c r="G103" s="125" t="s">
        <v>324</v>
      </c>
      <c r="H103" s="103">
        <v>25802.559999999998</v>
      </c>
      <c r="I103" s="104">
        <v>33184</v>
      </c>
    </row>
    <row r="104" spans="2:9" s="97" customFormat="1" ht="12">
      <c r="B104" s="83">
        <v>26</v>
      </c>
      <c r="C104" s="83">
        <v>17</v>
      </c>
      <c r="D104" s="83">
        <v>14</v>
      </c>
      <c r="E104" s="84" t="s">
        <v>371</v>
      </c>
      <c r="F104" s="85">
        <v>7768270165</v>
      </c>
      <c r="G104" s="86" t="s">
        <v>205</v>
      </c>
      <c r="H104" s="87">
        <v>13123.296</v>
      </c>
      <c r="I104" s="87">
        <v>17074</v>
      </c>
    </row>
    <row r="105" spans="2:9" s="97" customFormat="1" ht="12">
      <c r="B105" s="83">
        <v>26</v>
      </c>
      <c r="C105" s="83">
        <v>17</v>
      </c>
      <c r="D105" s="83">
        <v>14</v>
      </c>
      <c r="E105" s="84" t="s">
        <v>371</v>
      </c>
      <c r="F105" s="85">
        <v>7784570113</v>
      </c>
      <c r="G105" s="86" t="s">
        <v>17</v>
      </c>
      <c r="H105" s="87">
        <v>7908.16</v>
      </c>
      <c r="I105" s="87">
        <v>9840</v>
      </c>
    </row>
    <row r="106" spans="2:9" s="97" customFormat="1" ht="12">
      <c r="B106" s="83">
        <v>26</v>
      </c>
      <c r="C106" s="83">
        <v>17</v>
      </c>
      <c r="D106" s="83">
        <v>14</v>
      </c>
      <c r="E106" s="84" t="s">
        <v>371</v>
      </c>
      <c r="F106" s="85">
        <v>9209881100</v>
      </c>
      <c r="G106" s="86" t="s">
        <v>117</v>
      </c>
      <c r="H106" s="87">
        <v>4771.1039999999994</v>
      </c>
      <c r="I106" s="87">
        <v>6270</v>
      </c>
    </row>
    <row r="107" spans="2:9" ht="5.0999999999999996" customHeight="1">
      <c r="B107" s="72" t="s">
        <v>324</v>
      </c>
      <c r="C107" s="72" t="s">
        <v>324</v>
      </c>
      <c r="D107" s="72" t="s">
        <v>324</v>
      </c>
      <c r="E107" s="73" t="s">
        <v>324</v>
      </c>
      <c r="F107" s="74" t="s">
        <v>324</v>
      </c>
      <c r="G107" s="74" t="s">
        <v>324</v>
      </c>
      <c r="H107" s="75" t="s">
        <v>324</v>
      </c>
      <c r="I107" s="75" t="s">
        <v>324</v>
      </c>
    </row>
    <row r="108" spans="2:9" s="97" customFormat="1" ht="12">
      <c r="B108" s="100">
        <v>26</v>
      </c>
      <c r="C108" s="100">
        <v>17</v>
      </c>
      <c r="D108" s="100">
        <v>14</v>
      </c>
      <c r="E108" s="78" t="s">
        <v>373</v>
      </c>
      <c r="F108" s="124" t="s">
        <v>374</v>
      </c>
      <c r="G108" s="80" t="s">
        <v>324</v>
      </c>
      <c r="H108" s="81">
        <v>28838.944</v>
      </c>
      <c r="I108" s="82">
        <v>37414</v>
      </c>
    </row>
    <row r="109" spans="2:9" s="97" customFormat="1" ht="12">
      <c r="B109" s="83">
        <v>26</v>
      </c>
      <c r="C109" s="83">
        <v>17</v>
      </c>
      <c r="D109" s="83">
        <v>14</v>
      </c>
      <c r="E109" s="84" t="s">
        <v>373</v>
      </c>
      <c r="F109" s="85">
        <v>7768270165</v>
      </c>
      <c r="G109" s="86" t="s">
        <v>205</v>
      </c>
      <c r="H109" s="87">
        <v>13123.296</v>
      </c>
      <c r="I109" s="87">
        <v>17074</v>
      </c>
    </row>
    <row r="110" spans="2:9" s="97" customFormat="1" ht="12">
      <c r="B110" s="83">
        <v>26</v>
      </c>
      <c r="C110" s="83">
        <v>17</v>
      </c>
      <c r="D110" s="83">
        <v>14</v>
      </c>
      <c r="E110" s="84" t="s">
        <v>373</v>
      </c>
      <c r="F110" s="85">
        <v>7784570113</v>
      </c>
      <c r="G110" s="86" t="s">
        <v>17</v>
      </c>
      <c r="H110" s="87">
        <v>7908.16</v>
      </c>
      <c r="I110" s="87">
        <v>9840</v>
      </c>
    </row>
    <row r="111" spans="2:9" s="97" customFormat="1" ht="12">
      <c r="B111" s="83">
        <v>26</v>
      </c>
      <c r="C111" s="83">
        <v>17</v>
      </c>
      <c r="D111" s="83">
        <v>14</v>
      </c>
      <c r="E111" s="89" t="s">
        <v>373</v>
      </c>
      <c r="F111" s="93">
        <v>8863341100</v>
      </c>
      <c r="G111" s="94" t="s">
        <v>19</v>
      </c>
      <c r="H111" s="92">
        <v>7807.4880000000003</v>
      </c>
      <c r="I111" s="92">
        <v>10500</v>
      </c>
    </row>
    <row r="112" spans="2:9" ht="5.0999999999999996" customHeight="1">
      <c r="B112" s="72" t="s">
        <v>324</v>
      </c>
      <c r="C112" s="72" t="s">
        <v>324</v>
      </c>
      <c r="D112" s="72" t="s">
        <v>324</v>
      </c>
      <c r="E112" s="73" t="s">
        <v>324</v>
      </c>
      <c r="F112" s="74" t="s">
        <v>324</v>
      </c>
      <c r="G112" s="74" t="s">
        <v>324</v>
      </c>
      <c r="H112" s="75" t="s">
        <v>324</v>
      </c>
      <c r="I112" s="75" t="s">
        <v>324</v>
      </c>
    </row>
    <row r="113" spans="2:9" s="114" customFormat="1">
      <c r="B113" s="107" t="s">
        <v>324</v>
      </c>
      <c r="C113" s="108" t="s">
        <v>324</v>
      </c>
      <c r="D113" s="107">
        <v>41</v>
      </c>
      <c r="E113" s="109" t="s">
        <v>375</v>
      </c>
      <c r="F113" s="126" t="s">
        <v>376</v>
      </c>
      <c r="G113" s="111" t="s">
        <v>324</v>
      </c>
      <c r="H113" s="112">
        <v>10902.112000000001</v>
      </c>
      <c r="I113" s="113">
        <v>24599.3488</v>
      </c>
    </row>
    <row r="114" spans="2:9" s="114" customFormat="1">
      <c r="B114" s="115" t="s">
        <v>324</v>
      </c>
      <c r="C114" s="115" t="s">
        <v>324</v>
      </c>
      <c r="D114" s="115">
        <v>41</v>
      </c>
      <c r="E114" s="116" t="s">
        <v>375</v>
      </c>
      <c r="F114" s="127">
        <v>7768280113</v>
      </c>
      <c r="G114" s="128" t="s">
        <v>287</v>
      </c>
      <c r="H114" s="119">
        <v>0</v>
      </c>
      <c r="I114" s="87">
        <v>10989</v>
      </c>
    </row>
    <row r="115" spans="2:9" s="114" customFormat="1">
      <c r="B115" s="115" t="s">
        <v>324</v>
      </c>
      <c r="C115" s="115" t="s">
        <v>324</v>
      </c>
      <c r="D115" s="115">
        <v>41</v>
      </c>
      <c r="E115" s="116" t="s">
        <v>375</v>
      </c>
      <c r="F115" s="127">
        <v>7763580130</v>
      </c>
      <c r="G115" s="128" t="s">
        <v>377</v>
      </c>
      <c r="H115" s="119">
        <v>5886.4000000000005</v>
      </c>
      <c r="I115" s="87">
        <v>7360</v>
      </c>
    </row>
    <row r="116" spans="2:9" s="114" customFormat="1">
      <c r="B116" s="120" t="s">
        <v>324</v>
      </c>
      <c r="C116" s="120" t="s">
        <v>324</v>
      </c>
      <c r="D116" s="120">
        <v>41</v>
      </c>
      <c r="E116" s="121" t="s">
        <v>375</v>
      </c>
      <c r="F116" s="129">
        <v>9260181100</v>
      </c>
      <c r="G116" s="130" t="s">
        <v>295</v>
      </c>
      <c r="H116" s="122">
        <v>5015.7120000000004</v>
      </c>
      <c r="I116" s="92">
        <v>6250.3487999999998</v>
      </c>
    </row>
    <row r="117" spans="2:9" ht="8.1" customHeight="1"/>
    <row r="118" spans="2:9" s="97" customFormat="1" ht="12">
      <c r="B118" s="100">
        <v>22</v>
      </c>
      <c r="C118" s="100">
        <v>15</v>
      </c>
      <c r="D118" s="100">
        <v>12</v>
      </c>
      <c r="E118" s="78" t="s">
        <v>378</v>
      </c>
      <c r="F118" s="79" t="s">
        <v>379</v>
      </c>
      <c r="G118" s="80" t="s">
        <v>324</v>
      </c>
      <c r="H118" s="81">
        <v>32456.32</v>
      </c>
      <c r="I118" s="82">
        <v>102545</v>
      </c>
    </row>
    <row r="119" spans="2:9" s="97" customFormat="1" ht="12">
      <c r="B119" s="83">
        <v>22</v>
      </c>
      <c r="C119" s="83">
        <v>15</v>
      </c>
      <c r="D119" s="83">
        <v>12</v>
      </c>
      <c r="E119" s="84" t="s">
        <v>378</v>
      </c>
      <c r="F119" s="85">
        <v>7718186374</v>
      </c>
      <c r="G119" s="86" t="s">
        <v>242</v>
      </c>
      <c r="H119" s="87">
        <v>0</v>
      </c>
      <c r="I119" s="87">
        <v>59405</v>
      </c>
    </row>
    <row r="120" spans="2:9" s="97" customFormat="1" ht="12">
      <c r="B120" s="83">
        <v>22</v>
      </c>
      <c r="C120" s="83">
        <v>15</v>
      </c>
      <c r="D120" s="83">
        <v>12</v>
      </c>
      <c r="E120" s="84" t="s">
        <v>378</v>
      </c>
      <c r="F120" s="85">
        <v>7763680140</v>
      </c>
      <c r="G120" s="86" t="s">
        <v>243</v>
      </c>
      <c r="H120" s="87">
        <v>20307.04</v>
      </c>
      <c r="I120" s="87">
        <v>26790</v>
      </c>
    </row>
    <row r="121" spans="2:9" s="97" customFormat="1" ht="12">
      <c r="B121" s="83">
        <v>22</v>
      </c>
      <c r="C121" s="83">
        <v>15</v>
      </c>
      <c r="D121" s="83">
        <v>12</v>
      </c>
      <c r="E121" s="89" t="s">
        <v>378</v>
      </c>
      <c r="F121" s="93">
        <v>7704330118</v>
      </c>
      <c r="G121" s="94" t="s">
        <v>238</v>
      </c>
      <c r="H121" s="87">
        <v>12149.28</v>
      </c>
      <c r="I121" s="87">
        <v>16350</v>
      </c>
    </row>
    <row r="122" spans="2:9" ht="5.0999999999999996" customHeight="1">
      <c r="B122" s="72" t="s">
        <v>324</v>
      </c>
      <c r="C122" s="72" t="s">
        <v>324</v>
      </c>
      <c r="D122" s="72" t="s">
        <v>324</v>
      </c>
      <c r="E122" s="73" t="s">
        <v>324</v>
      </c>
      <c r="F122" s="74" t="s">
        <v>324</v>
      </c>
      <c r="G122" s="74" t="s">
        <v>324</v>
      </c>
      <c r="H122" s="75" t="s">
        <v>324</v>
      </c>
      <c r="I122" s="75" t="s">
        <v>324</v>
      </c>
    </row>
    <row r="123" spans="2:9">
      <c r="B123" s="76" t="s">
        <v>324</v>
      </c>
      <c r="C123" s="77" t="s">
        <v>324</v>
      </c>
      <c r="D123" s="76">
        <v>41</v>
      </c>
      <c r="E123" s="131" t="s">
        <v>380</v>
      </c>
      <c r="F123" s="124" t="s">
        <v>381</v>
      </c>
      <c r="G123" s="80" t="s">
        <v>324</v>
      </c>
      <c r="H123" s="81">
        <v>31380.592000000001</v>
      </c>
      <c r="I123" s="82">
        <v>41432</v>
      </c>
    </row>
    <row r="124" spans="2:9">
      <c r="B124" s="83" t="s">
        <v>324</v>
      </c>
      <c r="C124" s="83" t="s">
        <v>324</v>
      </c>
      <c r="D124" s="83">
        <v>41</v>
      </c>
      <c r="E124" s="105" t="s">
        <v>380</v>
      </c>
      <c r="F124" s="85">
        <v>7768280102</v>
      </c>
      <c r="G124" s="86" t="s">
        <v>213</v>
      </c>
      <c r="H124" s="87">
        <v>19831.392</v>
      </c>
      <c r="I124" s="87">
        <v>26192</v>
      </c>
    </row>
    <row r="125" spans="2:9">
      <c r="B125" s="83" t="s">
        <v>324</v>
      </c>
      <c r="C125" s="83" t="s">
        <v>324</v>
      </c>
      <c r="D125" s="83">
        <v>41</v>
      </c>
      <c r="E125" s="106" t="s">
        <v>380</v>
      </c>
      <c r="F125" s="93">
        <v>7763680103</v>
      </c>
      <c r="G125" s="94" t="s">
        <v>77</v>
      </c>
      <c r="H125" s="92">
        <v>11549.2</v>
      </c>
      <c r="I125" s="92">
        <v>15240</v>
      </c>
    </row>
    <row r="126" spans="2:9" ht="5.0999999999999996" customHeight="1">
      <c r="B126" s="72" t="s">
        <v>324</v>
      </c>
      <c r="C126" s="72" t="s">
        <v>324</v>
      </c>
      <c r="D126" s="72" t="s">
        <v>324</v>
      </c>
      <c r="E126" s="73" t="s">
        <v>324</v>
      </c>
      <c r="F126" s="74" t="s">
        <v>324</v>
      </c>
      <c r="G126" s="74" t="s">
        <v>324</v>
      </c>
      <c r="H126" s="75" t="s">
        <v>324</v>
      </c>
      <c r="I126" s="75" t="s">
        <v>324</v>
      </c>
    </row>
    <row r="127" spans="2:9">
      <c r="B127" s="76" t="s">
        <v>324</v>
      </c>
      <c r="C127" s="77" t="s">
        <v>324</v>
      </c>
      <c r="D127" s="76">
        <v>41</v>
      </c>
      <c r="E127" s="131" t="s">
        <v>382</v>
      </c>
      <c r="F127" s="124" t="s">
        <v>383</v>
      </c>
      <c r="G127" s="80" t="s">
        <v>324</v>
      </c>
      <c r="H127" s="81">
        <v>34446.928</v>
      </c>
      <c r="I127" s="82">
        <v>45482</v>
      </c>
    </row>
    <row r="128" spans="2:9">
      <c r="B128" s="83" t="s">
        <v>324</v>
      </c>
      <c r="C128" s="83" t="s">
        <v>324</v>
      </c>
      <c r="D128" s="83">
        <v>41</v>
      </c>
      <c r="E128" s="105" t="s">
        <v>382</v>
      </c>
      <c r="F128" s="85">
        <v>7779420289</v>
      </c>
      <c r="G128" s="86" t="s">
        <v>257</v>
      </c>
      <c r="H128" s="87">
        <v>22897.727999999999</v>
      </c>
      <c r="I128" s="87">
        <v>30242</v>
      </c>
    </row>
    <row r="129" spans="2:9">
      <c r="B129" s="83" t="s">
        <v>324</v>
      </c>
      <c r="C129" s="83" t="s">
        <v>324</v>
      </c>
      <c r="D129" s="83">
        <v>41</v>
      </c>
      <c r="E129" s="106" t="s">
        <v>382</v>
      </c>
      <c r="F129" s="93">
        <v>7763680102</v>
      </c>
      <c r="G129" s="94" t="s">
        <v>143</v>
      </c>
      <c r="H129" s="92">
        <v>11549.2</v>
      </c>
      <c r="I129" s="92">
        <v>15240</v>
      </c>
    </row>
    <row r="130" spans="2:9" ht="5.0999999999999996" customHeight="1">
      <c r="B130" s="72" t="s">
        <v>324</v>
      </c>
      <c r="C130" s="72" t="s">
        <v>324</v>
      </c>
      <c r="D130" s="72" t="s">
        <v>324</v>
      </c>
      <c r="E130" s="73" t="s">
        <v>324</v>
      </c>
      <c r="F130" s="74" t="s">
        <v>324</v>
      </c>
      <c r="G130" s="74" t="s">
        <v>324</v>
      </c>
      <c r="H130" s="75" t="s">
        <v>324</v>
      </c>
      <c r="I130" s="75" t="s">
        <v>324</v>
      </c>
    </row>
    <row r="131" spans="2:9" s="114" customFormat="1">
      <c r="B131" s="107" t="s">
        <v>324</v>
      </c>
      <c r="C131" s="108" t="s">
        <v>324</v>
      </c>
      <c r="D131" s="107">
        <v>41</v>
      </c>
      <c r="E131" s="109" t="s">
        <v>384</v>
      </c>
      <c r="F131" s="126" t="s">
        <v>385</v>
      </c>
      <c r="G131" s="111" t="s">
        <v>324</v>
      </c>
      <c r="H131" s="112">
        <v>5886.4000000000005</v>
      </c>
      <c r="I131" s="113">
        <v>18349</v>
      </c>
    </row>
    <row r="132" spans="2:9" s="114" customFormat="1">
      <c r="B132" s="115" t="s">
        <v>324</v>
      </c>
      <c r="C132" s="115" t="s">
        <v>324</v>
      </c>
      <c r="D132" s="115">
        <v>41</v>
      </c>
      <c r="E132" s="132" t="s">
        <v>384</v>
      </c>
      <c r="F132" s="127">
        <v>7768280113</v>
      </c>
      <c r="G132" s="128" t="s">
        <v>287</v>
      </c>
      <c r="H132" s="119">
        <v>0</v>
      </c>
      <c r="I132" s="87">
        <v>10989</v>
      </c>
    </row>
    <row r="133" spans="2:9" s="114" customFormat="1">
      <c r="B133" s="115" t="s">
        <v>324</v>
      </c>
      <c r="C133" s="115" t="s">
        <v>324</v>
      </c>
      <c r="D133" s="115">
        <v>41</v>
      </c>
      <c r="E133" s="133" t="s">
        <v>384</v>
      </c>
      <c r="F133" s="129">
        <v>7763580130</v>
      </c>
      <c r="G133" s="130" t="s">
        <v>377</v>
      </c>
      <c r="H133" s="122">
        <v>5886.4000000000005</v>
      </c>
      <c r="I133" s="92">
        <v>7360</v>
      </c>
    </row>
    <row r="135" spans="2:9">
      <c r="B135" s="76" t="s">
        <v>324</v>
      </c>
      <c r="C135" s="77" t="s">
        <v>324</v>
      </c>
      <c r="D135" s="76">
        <v>41</v>
      </c>
      <c r="E135" s="78" t="s">
        <v>386</v>
      </c>
      <c r="F135" s="79" t="s">
        <v>387</v>
      </c>
      <c r="G135" s="80" t="s">
        <v>324</v>
      </c>
      <c r="H135" s="81">
        <v>21802.768</v>
      </c>
      <c r="I135" s="82">
        <v>28230.481919999998</v>
      </c>
    </row>
    <row r="136" spans="2:9">
      <c r="B136" s="83" t="e">
        <v>#REF!</v>
      </c>
      <c r="C136" s="83" t="e">
        <v>#REF!</v>
      </c>
      <c r="D136" s="83" t="e">
        <v>#REF!</v>
      </c>
      <c r="E136" s="105" t="s">
        <v>386</v>
      </c>
      <c r="F136" s="85">
        <v>7763680103</v>
      </c>
      <c r="G136" s="86" t="s">
        <v>77</v>
      </c>
      <c r="H136" s="87">
        <v>11549.2</v>
      </c>
      <c r="I136" s="87">
        <v>15240</v>
      </c>
    </row>
    <row r="137" spans="2:9">
      <c r="B137" s="88" t="e">
        <v>#REF!</v>
      </c>
      <c r="C137" s="88" t="e">
        <v>#REF!</v>
      </c>
      <c r="D137" s="88" t="e">
        <v>#REF!</v>
      </c>
      <c r="E137" s="106" t="s">
        <v>386</v>
      </c>
      <c r="F137" s="90">
        <v>7704330122</v>
      </c>
      <c r="G137" s="91" t="s">
        <v>289</v>
      </c>
      <c r="H137" s="92">
        <v>10253.567999999999</v>
      </c>
      <c r="I137" s="92">
        <v>12990.48192</v>
      </c>
    </row>
    <row r="139" spans="2:9">
      <c r="B139" s="76" t="s">
        <v>324</v>
      </c>
      <c r="C139" s="77" t="s">
        <v>324</v>
      </c>
      <c r="D139" s="76">
        <v>41</v>
      </c>
      <c r="E139" s="78" t="s">
        <v>388</v>
      </c>
      <c r="F139" s="79" t="s">
        <v>389</v>
      </c>
      <c r="G139" s="80" t="s">
        <v>324</v>
      </c>
      <c r="H139" s="81">
        <v>17440.800000000003</v>
      </c>
      <c r="I139" s="82">
        <v>22380</v>
      </c>
    </row>
    <row r="140" spans="2:9">
      <c r="B140" s="83" t="e">
        <v>#REF!</v>
      </c>
      <c r="C140" s="83" t="e">
        <v>#REF!</v>
      </c>
      <c r="D140" s="83" t="e">
        <v>#REF!</v>
      </c>
      <c r="E140" s="105" t="s">
        <v>388</v>
      </c>
      <c r="F140" s="85">
        <v>7763680124</v>
      </c>
      <c r="G140" s="86" t="s">
        <v>61</v>
      </c>
      <c r="H140" s="87">
        <v>9097.92</v>
      </c>
      <c r="I140" s="87">
        <v>11340</v>
      </c>
    </row>
    <row r="141" spans="2:9">
      <c r="B141" s="88" t="e">
        <v>#REF!</v>
      </c>
      <c r="C141" s="88" t="e">
        <v>#REF!</v>
      </c>
      <c r="D141" s="88" t="e">
        <v>#REF!</v>
      </c>
      <c r="E141" s="106" t="s">
        <v>388</v>
      </c>
      <c r="F141" s="93">
        <v>7704330234</v>
      </c>
      <c r="G141" s="94" t="s">
        <v>200</v>
      </c>
      <c r="H141" s="92">
        <v>8342.880000000001</v>
      </c>
      <c r="I141" s="92">
        <v>11040</v>
      </c>
    </row>
    <row r="143" spans="2:9">
      <c r="B143" s="76" t="s">
        <v>324</v>
      </c>
      <c r="C143" s="77" t="s">
        <v>324</v>
      </c>
      <c r="D143" s="76">
        <v>41</v>
      </c>
      <c r="E143" s="78" t="s">
        <v>390</v>
      </c>
      <c r="F143" s="79" t="s">
        <v>391</v>
      </c>
      <c r="G143" s="80" t="s">
        <v>324</v>
      </c>
      <c r="H143" s="81">
        <v>17018.975999999999</v>
      </c>
      <c r="I143" s="82">
        <v>21480</v>
      </c>
    </row>
    <row r="144" spans="2:9">
      <c r="B144" s="83" t="e">
        <v>#REF!</v>
      </c>
      <c r="C144" s="83" t="e">
        <v>#REF!</v>
      </c>
      <c r="D144" s="83" t="e">
        <v>#REF!</v>
      </c>
      <c r="E144" s="105" t="s">
        <v>390</v>
      </c>
      <c r="F144" s="85">
        <v>7763580126</v>
      </c>
      <c r="G144" s="86" t="s">
        <v>58</v>
      </c>
      <c r="H144" s="87">
        <v>9097.92</v>
      </c>
      <c r="I144" s="87">
        <v>11340</v>
      </c>
    </row>
    <row r="145" spans="2:9">
      <c r="B145" s="88" t="e">
        <v>#REF!</v>
      </c>
      <c r="C145" s="88" t="e">
        <v>#REF!</v>
      </c>
      <c r="D145" s="88" t="e">
        <v>#REF!</v>
      </c>
      <c r="E145" s="106" t="s">
        <v>390</v>
      </c>
      <c r="F145" s="93">
        <v>7704331224</v>
      </c>
      <c r="G145" s="94" t="s">
        <v>87</v>
      </c>
      <c r="H145" s="92">
        <v>7921.0559999999996</v>
      </c>
      <c r="I145" s="92">
        <v>10140</v>
      </c>
    </row>
    <row r="146" spans="2:9" s="97" customFormat="1" ht="12">
      <c r="B146" s="100">
        <v>22</v>
      </c>
      <c r="C146" s="100">
        <v>15</v>
      </c>
      <c r="D146" s="100">
        <v>12</v>
      </c>
      <c r="E146" s="78" t="s">
        <v>392</v>
      </c>
      <c r="F146" s="79" t="s">
        <v>393</v>
      </c>
      <c r="G146" s="80" t="s">
        <v>324</v>
      </c>
      <c r="H146" s="81">
        <v>30684.160000000003</v>
      </c>
      <c r="I146" s="82">
        <v>100205</v>
      </c>
    </row>
    <row r="147" spans="2:9" s="97" customFormat="1" ht="12">
      <c r="B147" s="83">
        <v>22</v>
      </c>
      <c r="C147" s="83">
        <v>15</v>
      </c>
      <c r="D147" s="83">
        <v>12</v>
      </c>
      <c r="E147" s="84" t="s">
        <v>392</v>
      </c>
      <c r="F147" s="85">
        <v>7718186374</v>
      </c>
      <c r="G147" s="86" t="s">
        <v>242</v>
      </c>
      <c r="H147" s="87">
        <v>0</v>
      </c>
      <c r="I147" s="87">
        <v>59405</v>
      </c>
    </row>
    <row r="148" spans="2:9" s="97" customFormat="1" ht="12">
      <c r="B148" s="83">
        <v>22</v>
      </c>
      <c r="C148" s="83">
        <v>15</v>
      </c>
      <c r="D148" s="83">
        <v>12</v>
      </c>
      <c r="E148" s="84" t="s">
        <v>392</v>
      </c>
      <c r="F148" s="85">
        <v>7757180110</v>
      </c>
      <c r="G148" s="86" t="s">
        <v>175</v>
      </c>
      <c r="H148" s="87">
        <v>18534.88</v>
      </c>
      <c r="I148" s="87">
        <v>24450</v>
      </c>
    </row>
    <row r="149" spans="2:9" s="97" customFormat="1" ht="12">
      <c r="B149" s="83">
        <v>22</v>
      </c>
      <c r="C149" s="83">
        <v>15</v>
      </c>
      <c r="D149" s="83">
        <v>12</v>
      </c>
      <c r="E149" s="89" t="s">
        <v>392</v>
      </c>
      <c r="F149" s="93">
        <v>7704330118</v>
      </c>
      <c r="G149" s="94" t="s">
        <v>238</v>
      </c>
      <c r="H149" s="92">
        <v>12149.28</v>
      </c>
      <c r="I149" s="92">
        <v>16350</v>
      </c>
    </row>
  </sheetData>
  <autoFilter ref="A1:I112" xr:uid="{F831F8DD-15EF-4F12-8389-FA84C7729CC1}"/>
  <pageMargins left="0.7" right="0.7" top="0.75" bottom="0.75" header="0.3" footer="0.3"/>
  <pageSetup paperSize="9" scale="40" orientation="portrait" r:id="rId1"/>
  <headerFooter>
    <oddFooter>&amp;L&amp;1#&amp;"Calibri"&amp;12&amp;KFF8C00Sensitivity: Public&amp;R&amp;1#&amp;"Calibri"&amp;12&amp;KFF8C00Sensitivity: Public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2</vt:i4>
      </vt:variant>
      <vt:variant>
        <vt:lpstr>Adlandırılmış Aralıklar</vt:lpstr>
      </vt:variant>
      <vt:variant>
        <vt:i4>1</vt:i4>
      </vt:variant>
    </vt:vector>
  </HeadingPairs>
  <TitlesOfParts>
    <vt:vector size="3" baseType="lpstr">
      <vt:lpstr>ANKASTRE TEKLİ PRK FİYATLAR</vt:lpstr>
      <vt:lpstr>arçelik set</vt:lpstr>
      <vt:lpstr>'ANKASTRE TEKLİ PRK FİYATLAR'!Yazdırma_Alanı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2026-03-30T08:47:48Z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8de4db4-e00d-47c3-9d58-42953a01c92d_Enabled">
    <vt:lpwstr>true</vt:lpwstr>
  </property>
  <property fmtid="{D5CDD505-2E9C-101B-9397-08002B2CF9AE}" pid="3" name="MSIP_Label_18de4db4-e00d-47c3-9d58-42953a01c92d_SetDate">
    <vt:lpwstr>2024-07-29T06:52:19Z</vt:lpwstr>
  </property>
  <property fmtid="{D5CDD505-2E9C-101B-9397-08002B2CF9AE}" pid="4" name="MSIP_Label_18de4db4-e00d-47c3-9d58-42953a01c92d_Method">
    <vt:lpwstr>Standard</vt:lpwstr>
  </property>
  <property fmtid="{D5CDD505-2E9C-101B-9397-08002B2CF9AE}" pid="5" name="MSIP_Label_18de4db4-e00d-47c3-9d58-42953a01c92d_Name">
    <vt:lpwstr>18de4db4-e00d-47c3-9d58-42953a01c92d</vt:lpwstr>
  </property>
  <property fmtid="{D5CDD505-2E9C-101B-9397-08002B2CF9AE}" pid="6" name="MSIP_Label_18de4db4-e00d-47c3-9d58-42953a01c92d_SiteId">
    <vt:lpwstr>ef5926db-9bdf-4f9f-9066-d8e7f03943f7</vt:lpwstr>
  </property>
  <property fmtid="{D5CDD505-2E9C-101B-9397-08002B2CF9AE}" pid="7" name="MSIP_Label_18de4db4-e00d-47c3-9d58-42953a01c92d_ActionId">
    <vt:lpwstr>0302503b-511b-4a9e-b454-cb8784131cd0</vt:lpwstr>
  </property>
  <property fmtid="{D5CDD505-2E9C-101B-9397-08002B2CF9AE}" pid="8" name="MSIP_Label_18de4db4-e00d-47c3-9d58-42953a01c92d_ContentBits">
    <vt:lpwstr>2</vt:lpwstr>
  </property>
</Properties>
</file>