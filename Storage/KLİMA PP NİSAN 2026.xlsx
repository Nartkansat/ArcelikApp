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T\OneDrive\Desktop\NİSAN2026_BEYAZEŞYA-FİYATLAR\"/>
    </mc:Choice>
  </mc:AlternateContent>
  <xr:revisionPtr revIDLastSave="0" documentId="13_ncr:1_{98AAAFCB-A97A-463F-BA6D-668AFB4174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PTANOK" sheetId="3" r:id="rId1"/>
    <sheet name="PERAKENDEOK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43" i="8" l="1"/>
  <c r="Z42" i="8"/>
  <c r="Z41" i="8"/>
  <c r="Z37" i="8"/>
  <c r="K37" i="8" s="1"/>
  <c r="AP37" i="8" s="1"/>
  <c r="Z34" i="8"/>
  <c r="K34" i="8" s="1"/>
  <c r="AP34" i="8" s="1"/>
  <c r="V37" i="8"/>
  <c r="S37" i="8"/>
  <c r="AS37" i="8" s="1"/>
  <c r="R37" i="8"/>
  <c r="Q37" i="8" s="1"/>
  <c r="P37" i="8"/>
  <c r="V34" i="8"/>
  <c r="AT34" i="8" s="1"/>
  <c r="S34" i="8"/>
  <c r="AS34" i="8" s="1"/>
  <c r="P34" i="8"/>
  <c r="Z26" i="8"/>
  <c r="K26" i="8" s="1"/>
  <c r="AP26" i="8" s="1"/>
  <c r="V26" i="8"/>
  <c r="S26" i="8"/>
  <c r="P26" i="8"/>
  <c r="M34" i="8" l="1"/>
  <c r="AQ34" i="8" s="1"/>
  <c r="AR34" i="8"/>
  <c r="M37" i="8"/>
  <c r="AQ37" i="8" s="1"/>
  <c r="AR37" i="8"/>
  <c r="U37" i="8"/>
  <c r="T37" i="8" s="1"/>
  <c r="AT37" i="8"/>
  <c r="O26" i="8"/>
  <c r="N26" i="8" s="1"/>
  <c r="AR26" i="8"/>
  <c r="R26" i="8"/>
  <c r="AS26" i="8"/>
  <c r="U26" i="8"/>
  <c r="T26" i="8" s="1"/>
  <c r="AT26" i="8"/>
  <c r="O34" i="8"/>
  <c r="N34" i="8" s="1"/>
  <c r="O37" i="8"/>
  <c r="N37" i="8" s="1"/>
  <c r="R34" i="8"/>
  <c r="Q34" i="8" s="1"/>
  <c r="U34" i="8"/>
  <c r="T34" i="8" s="1"/>
  <c r="M26" i="8"/>
  <c r="AQ26" i="8" s="1"/>
  <c r="Q26" i="8"/>
  <c r="V43" i="8" l="1"/>
  <c r="S43" i="8"/>
  <c r="P43" i="8"/>
  <c r="K43" i="8"/>
  <c r="AP43" i="8" s="1"/>
  <c r="V42" i="8"/>
  <c r="S42" i="8"/>
  <c r="P42" i="8"/>
  <c r="K42" i="8"/>
  <c r="AP42" i="8" s="1"/>
  <c r="V41" i="8"/>
  <c r="S41" i="8"/>
  <c r="AS41" i="8" s="1"/>
  <c r="R41" i="8"/>
  <c r="P41" i="8"/>
  <c r="K41" i="8"/>
  <c r="AP41" i="8" s="1"/>
  <c r="U43" i="8" l="1"/>
  <c r="T43" i="8" s="1"/>
  <c r="AT43" i="8"/>
  <c r="O41" i="8"/>
  <c r="AR41" i="8"/>
  <c r="U41" i="8"/>
  <c r="AT41" i="8"/>
  <c r="M42" i="8"/>
  <c r="AQ42" i="8" s="1"/>
  <c r="AR42" i="8"/>
  <c r="R42" i="8"/>
  <c r="AS42" i="8"/>
  <c r="U42" i="8"/>
  <c r="T42" i="8" s="1"/>
  <c r="AT42" i="8"/>
  <c r="O43" i="8"/>
  <c r="N43" i="8" s="1"/>
  <c r="AR43" i="8"/>
  <c r="R43" i="8"/>
  <c r="AS43" i="8"/>
  <c r="O42" i="8"/>
  <c r="N42" i="8" s="1"/>
  <c r="M41" i="8"/>
  <c r="AQ41" i="8" s="1"/>
  <c r="N41" i="8"/>
  <c r="T41" i="8"/>
  <c r="Q41" i="8"/>
  <c r="M43" i="8"/>
  <c r="AQ43" i="8" s="1"/>
  <c r="Q43" i="8"/>
  <c r="Q42" i="8"/>
  <c r="Z18" i="8" l="1"/>
  <c r="K18" i="8" s="1"/>
  <c r="AP18" i="8" s="1"/>
  <c r="V18" i="8"/>
  <c r="AT18" i="8" s="1"/>
  <c r="S18" i="8"/>
  <c r="R18" i="8" s="1"/>
  <c r="P18" i="8"/>
  <c r="O18" i="8" s="1"/>
  <c r="Z17" i="8"/>
  <c r="K17" i="8" s="1"/>
  <c r="AP17" i="8" s="1"/>
  <c r="V17" i="8"/>
  <c r="AT17" i="8" s="1"/>
  <c r="S17" i="8"/>
  <c r="R17" i="8" s="1"/>
  <c r="P17" i="8"/>
  <c r="AR17" i="8" s="1"/>
  <c r="Z16" i="8"/>
  <c r="K16" i="8" s="1"/>
  <c r="AP16" i="8" s="1"/>
  <c r="V16" i="8"/>
  <c r="AT16" i="8" s="1"/>
  <c r="S16" i="8"/>
  <c r="R16" i="8" s="1"/>
  <c r="P16" i="8"/>
  <c r="O16" i="8" s="1"/>
  <c r="Z15" i="8"/>
  <c r="K15" i="8" s="1"/>
  <c r="AP15" i="8" s="1"/>
  <c r="V15" i="8"/>
  <c r="U15" i="8" s="1"/>
  <c r="S15" i="8"/>
  <c r="AS15" i="8" s="1"/>
  <c r="P15" i="8"/>
  <c r="O15" i="8" s="1"/>
  <c r="Z13" i="8"/>
  <c r="K13" i="8" s="1"/>
  <c r="AP13" i="8" s="1"/>
  <c r="V13" i="8"/>
  <c r="AT13" i="8" s="1"/>
  <c r="S13" i="8"/>
  <c r="R13" i="8" s="1"/>
  <c r="P13" i="8"/>
  <c r="AR13" i="8" s="1"/>
  <c r="Z12" i="8"/>
  <c r="K12" i="8" s="1"/>
  <c r="AP12" i="8" s="1"/>
  <c r="V12" i="8"/>
  <c r="U12" i="8" s="1"/>
  <c r="S12" i="8"/>
  <c r="R12" i="8" s="1"/>
  <c r="P12" i="8"/>
  <c r="AR12" i="8" s="1"/>
  <c r="Z11" i="8"/>
  <c r="K11" i="8" s="1"/>
  <c r="AP11" i="8" s="1"/>
  <c r="V11" i="8"/>
  <c r="AT11" i="8" s="1"/>
  <c r="S11" i="8"/>
  <c r="R11" i="8" s="1"/>
  <c r="P11" i="8"/>
  <c r="O11" i="8" s="1"/>
  <c r="Z10" i="8"/>
  <c r="K10" i="8" s="1"/>
  <c r="AP10" i="8" s="1"/>
  <c r="V10" i="8"/>
  <c r="U10" i="8" s="1"/>
  <c r="S10" i="8"/>
  <c r="R10" i="8" s="1"/>
  <c r="Q10" i="8" s="1"/>
  <c r="P10" i="8"/>
  <c r="AR10" i="8" s="1"/>
  <c r="V39" i="8"/>
  <c r="U39" i="8" s="1"/>
  <c r="S39" i="8"/>
  <c r="AS39" i="8" s="1"/>
  <c r="P39" i="8"/>
  <c r="M39" i="8" s="1"/>
  <c r="AQ39" i="8" s="1"/>
  <c r="V36" i="8"/>
  <c r="U36" i="8" s="1"/>
  <c r="S36" i="8"/>
  <c r="R36" i="8" s="1"/>
  <c r="P36" i="8"/>
  <c r="M36" i="8" s="1"/>
  <c r="AQ36" i="8" s="1"/>
  <c r="V35" i="8"/>
  <c r="AT35" i="8" s="1"/>
  <c r="S35" i="8"/>
  <c r="R35" i="8" s="1"/>
  <c r="Q35" i="8" s="1"/>
  <c r="P35" i="8"/>
  <c r="O35" i="8" s="1"/>
  <c r="V32" i="8"/>
  <c r="U32" i="8" s="1"/>
  <c r="S32" i="8"/>
  <c r="R32" i="8" s="1"/>
  <c r="P32" i="8"/>
  <c r="O32" i="8" s="1"/>
  <c r="V31" i="8"/>
  <c r="U31" i="8" s="1"/>
  <c r="S31" i="8"/>
  <c r="AS31" i="8" s="1"/>
  <c r="P31" i="8"/>
  <c r="O31" i="8" s="1"/>
  <c r="V30" i="8"/>
  <c r="U30" i="8" s="1"/>
  <c r="S30" i="8"/>
  <c r="R30" i="8" s="1"/>
  <c r="P30" i="8"/>
  <c r="O30" i="8" s="1"/>
  <c r="V29" i="8"/>
  <c r="U29" i="8" s="1"/>
  <c r="S29" i="8"/>
  <c r="R29" i="8" s="1"/>
  <c r="P29" i="8"/>
  <c r="O29" i="8" s="1"/>
  <c r="V27" i="8"/>
  <c r="U27" i="8" s="1"/>
  <c r="T27" i="8" s="1"/>
  <c r="S27" i="8"/>
  <c r="R27" i="8" s="1"/>
  <c r="Q27" i="8" s="1"/>
  <c r="P27" i="8"/>
  <c r="O27" i="8" s="1"/>
  <c r="N27" i="8" s="1"/>
  <c r="V25" i="8"/>
  <c r="U25" i="8" s="1"/>
  <c r="S25" i="8"/>
  <c r="R25" i="8" s="1"/>
  <c r="Q25" i="8" s="1"/>
  <c r="P25" i="8"/>
  <c r="M25" i="8" s="1"/>
  <c r="AQ25" i="8" s="1"/>
  <c r="V24" i="8"/>
  <c r="U24" i="8" s="1"/>
  <c r="S24" i="8"/>
  <c r="R24" i="8" s="1"/>
  <c r="Q24" i="8" s="1"/>
  <c r="P24" i="8"/>
  <c r="O24" i="8" s="1"/>
  <c r="V23" i="8"/>
  <c r="U23" i="8" s="1"/>
  <c r="T23" i="8" s="1"/>
  <c r="S23" i="8"/>
  <c r="AS23" i="8" s="1"/>
  <c r="P23" i="8"/>
  <c r="O23" i="8" s="1"/>
  <c r="V22" i="8"/>
  <c r="U22" i="8" s="1"/>
  <c r="T22" i="8" s="1"/>
  <c r="S22" i="8"/>
  <c r="R22" i="8" s="1"/>
  <c r="Q22" i="8" s="1"/>
  <c r="P22" i="8"/>
  <c r="O22" i="8" s="1"/>
  <c r="N22" i="8" s="1"/>
  <c r="V21" i="8"/>
  <c r="U21" i="8" s="1"/>
  <c r="T21" i="8" s="1"/>
  <c r="S21" i="8"/>
  <c r="R21" i="8" s="1"/>
  <c r="P21" i="8"/>
  <c r="O21" i="8" s="1"/>
  <c r="N21" i="8" s="1"/>
  <c r="V20" i="8"/>
  <c r="U20" i="8" s="1"/>
  <c r="S20" i="8"/>
  <c r="AS20" i="8" s="1"/>
  <c r="P20" i="8"/>
  <c r="O20" i="8" s="1"/>
  <c r="K22" i="8"/>
  <c r="AP22" i="8" s="1"/>
  <c r="K21" i="8"/>
  <c r="AP21" i="8" s="1"/>
  <c r="V8" i="8"/>
  <c r="U8" i="8" s="1"/>
  <c r="S8" i="8"/>
  <c r="R8" i="8" s="1"/>
  <c r="P8" i="8"/>
  <c r="O8" i="8" s="1"/>
  <c r="N8" i="8" s="1"/>
  <c r="S6" i="8"/>
  <c r="R6" i="8" s="1"/>
  <c r="K8" i="8"/>
  <c r="AP8" i="8" s="1"/>
  <c r="P6" i="8"/>
  <c r="O6" i="8" s="1"/>
  <c r="V6" i="8"/>
  <c r="AT6" i="8" s="1"/>
  <c r="K6" i="8"/>
  <c r="AP6" i="8" s="1"/>
  <c r="Z39" i="8"/>
  <c r="Z36" i="8"/>
  <c r="K36" i="8" s="1"/>
  <c r="AP36" i="8" s="1"/>
  <c r="Z35" i="8"/>
  <c r="K35" i="8" s="1"/>
  <c r="AP35" i="8" s="1"/>
  <c r="Z32" i="8"/>
  <c r="Z31" i="8"/>
  <c r="Z30" i="8"/>
  <c r="K30" i="8" s="1"/>
  <c r="AP30" i="8" s="1"/>
  <c r="Z29" i="8"/>
  <c r="K29" i="8" s="1"/>
  <c r="AP29" i="8" s="1"/>
  <c r="Z27" i="8"/>
  <c r="K27" i="8" s="1"/>
  <c r="AP27" i="8" s="1"/>
  <c r="Z25" i="8"/>
  <c r="Z24" i="8"/>
  <c r="K24" i="8" s="1"/>
  <c r="AP24" i="8" s="1"/>
  <c r="Z23" i="8"/>
  <c r="Z22" i="8"/>
  <c r="Z21" i="8"/>
  <c r="Z20" i="8"/>
  <c r="K20" i="8" s="1"/>
  <c r="AP20" i="8" s="1"/>
  <c r="Z8" i="8"/>
  <c r="Z6" i="8"/>
  <c r="O12" i="8" l="1"/>
  <c r="N12" i="8" s="1"/>
  <c r="M10" i="8"/>
  <c r="O10" i="8"/>
  <c r="N10" i="8" s="1"/>
  <c r="U13" i="8"/>
  <c r="T13" i="8" s="1"/>
  <c r="M12" i="8"/>
  <c r="AS10" i="8"/>
  <c r="AS12" i="8"/>
  <c r="U18" i="8"/>
  <c r="T18" i="8" s="1"/>
  <c r="R15" i="8"/>
  <c r="Q15" i="8" s="1"/>
  <c r="U17" i="8"/>
  <c r="T17" i="8" s="1"/>
  <c r="AR11" i="8"/>
  <c r="O13" i="8"/>
  <c r="N13" i="8" s="1"/>
  <c r="O17" i="8"/>
  <c r="N17" i="8" s="1"/>
  <c r="Q17" i="8"/>
  <c r="N15" i="8"/>
  <c r="U16" i="8"/>
  <c r="T16" i="8" s="1"/>
  <c r="AR36" i="8"/>
  <c r="AS36" i="8"/>
  <c r="AT36" i="8"/>
  <c r="AS27" i="8"/>
  <c r="R23" i="8"/>
  <c r="Q23" i="8" s="1"/>
  <c r="AS25" i="8"/>
  <c r="AT25" i="8"/>
  <c r="AS22" i="8"/>
  <c r="AT22" i="8"/>
  <c r="AS17" i="8"/>
  <c r="AR15" i="8"/>
  <c r="M17" i="8"/>
  <c r="M15" i="8"/>
  <c r="N18" i="8"/>
  <c r="Q16" i="8"/>
  <c r="Q18" i="8"/>
  <c r="N16" i="8"/>
  <c r="T15" i="8"/>
  <c r="AR16" i="8"/>
  <c r="AR18" i="8"/>
  <c r="T10" i="8"/>
  <c r="N11" i="8"/>
  <c r="Q12" i="8"/>
  <c r="Q13" i="8"/>
  <c r="Q11" i="8"/>
  <c r="U11" i="8"/>
  <c r="T11" i="8" s="1"/>
  <c r="T12" i="8"/>
  <c r="AR24" i="8"/>
  <c r="AT27" i="8"/>
  <c r="AS24" i="8"/>
  <c r="AR39" i="8"/>
  <c r="M11" i="8"/>
  <c r="Y11" i="8" s="1"/>
  <c r="M13" i="8"/>
  <c r="M16" i="8"/>
  <c r="M18" i="8"/>
  <c r="AR27" i="8"/>
  <c r="AT10" i="8"/>
  <c r="AT12" i="8"/>
  <c r="AT15" i="8"/>
  <c r="AT24" i="8"/>
  <c r="AR35" i="8"/>
  <c r="AT39" i="8"/>
  <c r="AS35" i="8"/>
  <c r="AS11" i="8"/>
  <c r="AS13" i="8"/>
  <c r="AS16" i="8"/>
  <c r="AS18" i="8"/>
  <c r="AR22" i="8"/>
  <c r="AR25" i="8"/>
  <c r="AR20" i="8"/>
  <c r="AT20" i="8"/>
  <c r="AR8" i="8"/>
  <c r="AR23" i="8"/>
  <c r="AS8" i="8"/>
  <c r="AT8" i="8"/>
  <c r="AR21" i="8"/>
  <c r="AT23" i="8"/>
  <c r="AS21" i="8"/>
  <c r="AT21" i="8"/>
  <c r="AR30" i="8"/>
  <c r="AT32" i="8"/>
  <c r="AR6" i="8"/>
  <c r="AS6" i="8"/>
  <c r="AT31" i="8"/>
  <c r="AS30" i="8"/>
  <c r="AT30" i="8"/>
  <c r="AR32" i="8"/>
  <c r="AR29" i="8"/>
  <c r="AS32" i="8"/>
  <c r="AS29" i="8"/>
  <c r="AT29" i="8"/>
  <c r="AR31" i="8"/>
  <c r="M35" i="8"/>
  <c r="AQ35" i="8" s="1"/>
  <c r="R39" i="8"/>
  <c r="Q39" i="8" s="1"/>
  <c r="M32" i="8"/>
  <c r="AQ32" i="8" s="1"/>
  <c r="M30" i="8"/>
  <c r="AQ30" i="8" s="1"/>
  <c r="M27" i="8"/>
  <c r="AQ27" i="8" s="1"/>
  <c r="T29" i="8"/>
  <c r="M23" i="8"/>
  <c r="AQ23" i="8" s="1"/>
  <c r="M21" i="8"/>
  <c r="AQ21" i="8" s="1"/>
  <c r="O25" i="8"/>
  <c r="N25" i="8" s="1"/>
  <c r="O36" i="8"/>
  <c r="N36" i="8" s="1"/>
  <c r="O39" i="8"/>
  <c r="N39" i="8" s="1"/>
  <c r="U35" i="8"/>
  <c r="T35" i="8" s="1"/>
  <c r="T30" i="8"/>
  <c r="N32" i="8"/>
  <c r="N30" i="8"/>
  <c r="N31" i="8"/>
  <c r="N29" i="8"/>
  <c r="Q32" i="8"/>
  <c r="T32" i="8"/>
  <c r="Q30" i="8"/>
  <c r="T31" i="8"/>
  <c r="N20" i="8"/>
  <c r="M22" i="8"/>
  <c r="AQ22" i="8" s="1"/>
  <c r="M6" i="8"/>
  <c r="AQ6" i="8" s="1"/>
  <c r="M8" i="8"/>
  <c r="AQ8" i="8" s="1"/>
  <c r="U6" i="8"/>
  <c r="T6" i="8" s="1"/>
  <c r="T39" i="8"/>
  <c r="Q36" i="8"/>
  <c r="N35" i="8"/>
  <c r="T36" i="8"/>
  <c r="M29" i="8"/>
  <c r="AQ29" i="8" s="1"/>
  <c r="R31" i="8"/>
  <c r="Q31" i="8" s="1"/>
  <c r="M31" i="8"/>
  <c r="AQ31" i="8" s="1"/>
  <c r="Q29" i="8"/>
  <c r="N23" i="8"/>
  <c r="T24" i="8"/>
  <c r="M24" i="8"/>
  <c r="AQ24" i="8" s="1"/>
  <c r="N24" i="8"/>
  <c r="T25" i="8"/>
  <c r="Q21" i="8"/>
  <c r="R20" i="8"/>
  <c r="Q20" i="8" s="1"/>
  <c r="T20" i="8"/>
  <c r="M20" i="8"/>
  <c r="AQ20" i="8" s="1"/>
  <c r="Q8" i="8"/>
  <c r="T8" i="8"/>
  <c r="Q6" i="8"/>
  <c r="N6" i="8"/>
  <c r="K39" i="8"/>
  <c r="AP39" i="8" s="1"/>
  <c r="K25" i="8"/>
  <c r="AP25" i="8" s="1"/>
  <c r="K32" i="8"/>
  <c r="AP32" i="8" s="1"/>
  <c r="K23" i="8"/>
  <c r="AP23" i="8" s="1"/>
  <c r="K31" i="8"/>
  <c r="AP31" i="8" s="1"/>
  <c r="Y16" i="8" l="1"/>
  <c r="Y18" i="8"/>
  <c r="Y13" i="8"/>
  <c r="AQ10" i="8"/>
  <c r="Y10" i="8"/>
  <c r="AQ15" i="8"/>
  <c r="Y15" i="8"/>
  <c r="AQ12" i="8"/>
  <c r="Y12" i="8"/>
  <c r="AQ17" i="8"/>
  <c r="Y17" i="8"/>
  <c r="Y31" i="8"/>
  <c r="AQ11" i="8"/>
  <c r="AQ18" i="8"/>
  <c r="AQ16" i="8"/>
  <c r="AQ13" i="8"/>
  <c r="Y32" i="8"/>
  <c r="Y29" i="8"/>
  <c r="Y39" i="8"/>
  <c r="Y6" i="8"/>
  <c r="Y30" i="8"/>
  <c r="Y8" i="8"/>
</calcChain>
</file>

<file path=xl/sharedStrings.xml><?xml version="1.0" encoding="utf-8"?>
<sst xmlns="http://schemas.openxmlformats.org/spreadsheetml/2006/main" count="259" uniqueCount="140">
  <si>
    <t>1+8</t>
  </si>
  <si>
    <t>KLİMALAR</t>
  </si>
  <si>
    <t>ENERJİ SINIFI (SOĞUTMA)</t>
  </si>
  <si>
    <t>SOĞUTMA KAPASİTESİ</t>
  </si>
  <si>
    <t>ISITMA KAPASİTESİ</t>
  </si>
  <si>
    <t>İÇ ÜNİTE  STOK NO</t>
  </si>
  <si>
    <t>DIŞ ÜNİTE  STOK NO</t>
  </si>
  <si>
    <t>NOMİNAL (BTU/H)</t>
  </si>
  <si>
    <t>MİN. -MAX. (BTU/H)</t>
  </si>
  <si>
    <t>A</t>
  </si>
  <si>
    <t xml:space="preserve"> +++</t>
  </si>
  <si>
    <t>++</t>
  </si>
  <si>
    <t>3.071-18.776</t>
  </si>
  <si>
    <t>3.071-21.837</t>
  </si>
  <si>
    <t>3.071-25.317</t>
  </si>
  <si>
    <t>3.071-29.480</t>
  </si>
  <si>
    <t>EKOLOJİK INVERTER (R32 GAZLI)</t>
  </si>
  <si>
    <t>-</t>
  </si>
  <si>
    <t>*Fiyatlara montaj bedeli dahildir.</t>
  </si>
  <si>
    <t>BEKO</t>
  </si>
  <si>
    <t>PEŞİNAT</t>
  </si>
  <si>
    <t>3.039-11.942</t>
  </si>
  <si>
    <t>3.071-15.015</t>
  </si>
  <si>
    <t>3.071-18.384</t>
  </si>
  <si>
    <t>FİYAT GİR</t>
  </si>
  <si>
    <t>1.024-14.502</t>
  </si>
  <si>
    <t>PROSMART INVERTER- WHITE (R32 GAZLI)</t>
  </si>
  <si>
    <t>3.039-12.633</t>
  </si>
  <si>
    <t>3.039-13.794</t>
  </si>
  <si>
    <t>3.073-18.779</t>
  </si>
  <si>
    <t>3.071-25.318</t>
  </si>
  <si>
    <t>3.039-13.990</t>
  </si>
  <si>
    <t>3.039-17.414</t>
  </si>
  <si>
    <t>3.073-21.852</t>
  </si>
  <si>
    <t>3.071-29.481</t>
  </si>
  <si>
    <t>TOPLAM FİYAT</t>
  </si>
  <si>
    <t>PARO</t>
  </si>
  <si>
    <t>15325 (WiFi Opsiyonel)</t>
  </si>
  <si>
    <t>18325 (WiFi Opsiyonel)</t>
  </si>
  <si>
    <t>24325  (WiFi Opsiyonel)</t>
  </si>
  <si>
    <t>31525 (WiFi Opsiyonel)</t>
  </si>
  <si>
    <t>31825 (WiFi Opsiyonel)</t>
  </si>
  <si>
    <t>32425 (WiFi Opsiyonel)</t>
  </si>
  <si>
    <t>paro gir</t>
  </si>
  <si>
    <t>EKO INVERTER</t>
  </si>
  <si>
    <t>A24D30</t>
  </si>
  <si>
    <t>A18D30</t>
  </si>
  <si>
    <t>PEŞİN FİYAT</t>
  </si>
  <si>
    <t>EKO INVERTER (R32 GAZLI)</t>
  </si>
  <si>
    <t>BRÜT</t>
  </si>
  <si>
    <t>AKTİF HİJYEN PLUS PROSMART INVERTER BLACK KLİMA (R32 GAZLI)</t>
  </si>
  <si>
    <t>AKTİF HİJYEN PLUS INVERTER SİLVER KLİMA (R32 GAZLI)</t>
  </si>
  <si>
    <t>EKOLOJİK 100 İSE</t>
  </si>
  <si>
    <t>SALON TİPİ</t>
  </si>
  <si>
    <t>PEŞİNAT + 8 TAKSİT</t>
  </si>
  <si>
    <t>8 TAKSİT</t>
  </si>
  <si>
    <t>50960 HP WiFi</t>
  </si>
  <si>
    <t>51260 HP WiFi</t>
  </si>
  <si>
    <t>51860 HP WiFi</t>
  </si>
  <si>
    <t>52460 HP WiFi</t>
  </si>
  <si>
    <t>40965 HP (WiFi Opsiyonel)</t>
  </si>
  <si>
    <t>41265 HP (WiFi Opsiyonel)</t>
  </si>
  <si>
    <t>41865 HP (WiFi Opsiyonel)</t>
  </si>
  <si>
    <t>42465 HP (WiFi Opsiyonel)</t>
  </si>
  <si>
    <t>İNDİRİM BEDELİ</t>
  </si>
  <si>
    <t>İNDİRİMLİ PEŞİN FİYAT</t>
  </si>
  <si>
    <t>07325 A</t>
  </si>
  <si>
    <t>30725 A</t>
  </si>
  <si>
    <t>3.039-10.918</t>
  </si>
  <si>
    <t xml:space="preserve"> ++</t>
  </si>
  <si>
    <t>ALERJENSMART INVERTER (R32 GAZLI)</t>
  </si>
  <si>
    <t>1+4</t>
  </si>
  <si>
    <t>PEŞİNAT + 4 TAKSİT</t>
  </si>
  <si>
    <t>4 TAKSİT</t>
  </si>
  <si>
    <t>NET</t>
  </si>
  <si>
    <t>BRÜT PEŞİN</t>
  </si>
  <si>
    <t>3.071 - 21.837</t>
  </si>
  <si>
    <t>MOBİL -PORTATİF KLİMA</t>
  </si>
  <si>
    <t>48726 MONOFAZE INVERTER</t>
  </si>
  <si>
    <t>74826 MONOFAZE INVERTER</t>
  </si>
  <si>
    <t>12325 A (WiFi Opsiyonel)</t>
  </si>
  <si>
    <t>09325 A (WiFi Opsiyonel)</t>
  </si>
  <si>
    <t>30925 A (WiFi Opsiyonel)</t>
  </si>
  <si>
    <t>31225 A (WiFi Opsiyonel)</t>
  </si>
  <si>
    <t>3.039-13.648</t>
  </si>
  <si>
    <t>12670 WiFi</t>
  </si>
  <si>
    <t>61270 WiFi</t>
  </si>
  <si>
    <t>15325 S (Sadece Soğutma)</t>
  </si>
  <si>
    <t>31525 S (Sadece Soğutma)</t>
  </si>
  <si>
    <t>12770 AL WiFi</t>
  </si>
  <si>
    <t>71270 AL WiFi</t>
  </si>
  <si>
    <t>+</t>
  </si>
  <si>
    <t>A09D45</t>
  </si>
  <si>
    <t>3.039-10.918 </t>
  </si>
  <si>
    <t>A12D45</t>
  </si>
  <si>
    <t> 10.000</t>
  </si>
  <si>
    <t> 3.039-10.918</t>
  </si>
  <si>
    <t>12220 P - PORTATİF (Sadece Soğutma)</t>
  </si>
  <si>
    <t>21220 P - PORTATİF (Sadece Soğutma)</t>
  </si>
  <si>
    <t>34726 MONOFAZE INVERTER</t>
  </si>
  <si>
    <t>73426 MONOFAZE INVERTER</t>
  </si>
  <si>
    <t>PEŞİN FİYATINA 3 TAKSİT</t>
  </si>
  <si>
    <t>2 TAKSİT</t>
  </si>
  <si>
    <t>PFT 1+2</t>
  </si>
  <si>
    <t>PFT1+2</t>
  </si>
  <si>
    <t>NET PEŞİN</t>
  </si>
  <si>
    <t>PROSMART PLUS INVERTER BLACK KLİMA (R32 GAZLI)</t>
  </si>
  <si>
    <t>PROSMART INVERTER SİLVER KLİMA (R32 GAZLI)</t>
  </si>
  <si>
    <t>09570 HP WiFi</t>
  </si>
  <si>
    <t>12570 HP WiFi</t>
  </si>
  <si>
    <t>18570 HP WiFi</t>
  </si>
  <si>
    <t>24570 HP WiFi</t>
  </si>
  <si>
    <t>09470 HP WiFi</t>
  </si>
  <si>
    <t>12470 HP WiFi</t>
  </si>
  <si>
    <t>18470 HP WiFi</t>
  </si>
  <si>
    <t>24470 HP WiFi</t>
  </si>
  <si>
    <t>MULTİ KLİMA SET</t>
  </si>
  <si>
    <t>MA 091216</t>
  </si>
  <si>
    <t>MA 091818</t>
  </si>
  <si>
    <t>MA 121824</t>
  </si>
  <si>
    <t>21325 T (WiFi Opsiyonel)</t>
  </si>
  <si>
    <t>26326 MONOFAZE INVERTER</t>
  </si>
  <si>
    <t>55726 MONOFAZE INVERTER</t>
  </si>
  <si>
    <t>Oliz</t>
  </si>
  <si>
    <t>İÇ ÜNİTE SKU</t>
  </si>
  <si>
    <t>DIŞ ÜNİTE SKU</t>
  </si>
  <si>
    <t>EKOLOJİK INVERTER</t>
  </si>
  <si>
    <t>PROSMART INVERTER SİLVER KLİMA</t>
  </si>
  <si>
    <t>PROSMART PLUS INVERTER BLACK KLİMA</t>
  </si>
  <si>
    <t>ALERJENSMART+  INVERTER</t>
  </si>
  <si>
    <t>PROSMART INVERTER- WHITE</t>
  </si>
  <si>
    <t>01-15.04.2026</t>
  </si>
  <si>
    <t>F+30 Gün Fiyat (31.07 Ödeme) (Y090)</t>
  </si>
  <si>
    <t>F+60 Gün Fiyat (31.08 Ödeme) (Y120)</t>
  </si>
  <si>
    <t>F+90 Gün Fiyat (30.09 Ödeme) (Y150)</t>
  </si>
  <si>
    <t>1-31 MART 2026</t>
  </si>
  <si>
    <t xml:space="preserve">09325 A </t>
  </si>
  <si>
    <t xml:space="preserve">12325 A </t>
  </si>
  <si>
    <t xml:space="preserve">21325 T </t>
  </si>
  <si>
    <t>15325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</si>
</sst>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0.000"/>
    <numFmt numFmtId="166" formatCode="#,##0.0"/>
    <numFmt numFmtId="167" formatCode="0.0000"/>
    <numFmt numFmtId="168" formatCode="0.00000"/>
  </numFmts>
  <fonts count="3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sz val="10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FF0000"/>
      <name val="Arial"/>
      <family val="2"/>
      <charset val="162"/>
    </font>
    <font>
      <sz val="14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4"/>
      <color theme="1"/>
      <name val="Arial"/>
      <family val="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b/>
      <sz val="12"/>
      <name val="Helvetica"/>
      <family val="2"/>
    </font>
    <font>
      <sz val="14"/>
      <color rgb="FFFF0000"/>
      <name val="Calibri"/>
      <family val="2"/>
      <charset val="162"/>
      <scheme val="minor"/>
    </font>
    <font>
      <b/>
      <sz val="14"/>
      <color rgb="FFFF0000"/>
      <name val="Arial"/>
      <family val="2"/>
      <charset val="162"/>
    </font>
    <font>
      <b/>
      <sz val="12"/>
      <color rgb="FF0070C0"/>
      <name val="Helvetica"/>
      <family val="2"/>
    </font>
    <font>
      <b/>
      <sz val="20"/>
      <color theme="1"/>
      <name val="Helvetica"/>
      <family val="2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Helvetica"/>
      <family val="2"/>
      <charset val="162"/>
    </font>
    <font>
      <b/>
      <sz val="18"/>
      <color theme="1"/>
      <name val="Helvetica"/>
      <family val="2"/>
      <charset val="162"/>
    </font>
    <font>
      <b/>
      <sz val="12"/>
      <color rgb="FFFF0000"/>
      <name val="Helvetica"/>
      <family val="2"/>
      <charset val="162"/>
    </font>
    <font>
      <b/>
      <sz val="12"/>
      <color rgb="FFFF0000"/>
      <name val="Helvetica"/>
      <family val="2"/>
    </font>
    <font>
      <b/>
      <sz val="11"/>
      <color rgb="FFFF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FF000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C00000"/>
      </diagonal>
    </border>
    <border>
      <left style="thin">
        <color indexed="64"/>
      </left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C00000"/>
      </top>
      <bottom/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91">
    <xf numFmtId="0" fontId="0" fillId="0" borderId="0" xfId="0"/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4" fontId="4" fillId="4" borderId="2" xfId="2" applyNumberFormat="1" applyFont="1" applyFill="1" applyBorder="1" applyAlignment="1">
      <alignment horizontal="center"/>
    </xf>
    <xf numFmtId="4" fontId="10" fillId="4" borderId="2" xfId="2" applyNumberFormat="1" applyFont="1" applyFill="1" applyBorder="1"/>
    <xf numFmtId="4" fontId="9" fillId="4" borderId="2" xfId="2" applyNumberFormat="1" applyFont="1" applyFill="1" applyBorder="1" applyAlignment="1">
      <alignment horizontal="center"/>
    </xf>
    <xf numFmtId="4" fontId="8" fillId="4" borderId="2" xfId="2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 applyProtection="1">
      <alignment horizontal="center"/>
      <protection locked="0"/>
    </xf>
    <xf numFmtId="4" fontId="11" fillId="4" borderId="1" xfId="2" applyNumberFormat="1" applyFont="1" applyFill="1" applyBorder="1"/>
    <xf numFmtId="4" fontId="7" fillId="4" borderId="2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4" fontId="4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5" fontId="0" fillId="0" borderId="0" xfId="0" applyNumberFormat="1"/>
    <xf numFmtId="0" fontId="15" fillId="0" borderId="0" xfId="0" applyFont="1"/>
    <xf numFmtId="3" fontId="9" fillId="4" borderId="2" xfId="2" applyNumberFormat="1" applyFont="1" applyFill="1" applyBorder="1" applyAlignment="1">
      <alignment horizontal="center"/>
    </xf>
    <xf numFmtId="0" fontId="11" fillId="3" borderId="4" xfId="0" applyFont="1" applyFill="1" applyBorder="1" applyAlignment="1" applyProtection="1">
      <alignment horizontal="center"/>
      <protection locked="0"/>
    </xf>
    <xf numFmtId="10" fontId="9" fillId="0" borderId="0" xfId="1" applyNumberFormat="1" applyFont="1" applyAlignment="1">
      <alignment horizontal="center"/>
    </xf>
    <xf numFmtId="4" fontId="19" fillId="4" borderId="2" xfId="2" applyNumberFormat="1" applyFont="1" applyFill="1" applyBorder="1" applyAlignment="1">
      <alignment horizontal="center"/>
    </xf>
    <xf numFmtId="0" fontId="19" fillId="0" borderId="0" xfId="0" applyFont="1"/>
    <xf numFmtId="0" fontId="2" fillId="0" borderId="0" xfId="0" applyFont="1" applyAlignment="1">
      <alignment horizontal="left"/>
    </xf>
    <xf numFmtId="9" fontId="23" fillId="0" borderId="0" xfId="1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4" fontId="11" fillId="4" borderId="2" xfId="2" applyNumberFormat="1" applyFont="1" applyFill="1" applyBorder="1" applyAlignment="1">
      <alignment horizontal="center"/>
    </xf>
    <xf numFmtId="4" fontId="17" fillId="4" borderId="2" xfId="2" applyNumberFormat="1" applyFont="1" applyFill="1" applyBorder="1"/>
    <xf numFmtId="4" fontId="12" fillId="4" borderId="2" xfId="2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 applyProtection="1">
      <alignment horizontal="left"/>
      <protection locked="0"/>
    </xf>
    <xf numFmtId="0" fontId="17" fillId="3" borderId="4" xfId="0" applyFont="1" applyFill="1" applyBorder="1" applyAlignment="1" applyProtection="1">
      <alignment horizontal="center" vertical="center" wrapText="1"/>
      <protection locked="0"/>
    </xf>
    <xf numFmtId="49" fontId="11" fillId="3" borderId="4" xfId="0" applyNumberFormat="1" applyFont="1" applyFill="1" applyBorder="1" applyAlignment="1" applyProtection="1">
      <alignment horizontal="left"/>
      <protection locked="0"/>
    </xf>
    <xf numFmtId="0" fontId="16" fillId="0" borderId="0" xfId="0" applyFont="1" applyAlignment="1">
      <alignment horizontal="center"/>
    </xf>
    <xf numFmtId="0" fontId="26" fillId="2" borderId="4" xfId="2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1" fontId="9" fillId="0" borderId="0" xfId="0" applyNumberFormat="1" applyFont="1" applyAlignment="1">
      <alignment horizontal="center"/>
    </xf>
    <xf numFmtId="0" fontId="9" fillId="0" borderId="1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3" fontId="11" fillId="0" borderId="4" xfId="2" applyNumberFormat="1" applyFont="1" applyBorder="1" applyAlignment="1">
      <alignment horizontal="center" vertical="center"/>
    </xf>
    <xf numFmtId="3" fontId="12" fillId="0" borderId="4" xfId="2" applyNumberFormat="1" applyFont="1" applyBorder="1" applyAlignment="1">
      <alignment horizontal="center" vertical="center"/>
    </xf>
    <xf numFmtId="3" fontId="12" fillId="0" borderId="1" xfId="2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3" fontId="19" fillId="4" borderId="2" xfId="2" applyNumberFormat="1" applyFont="1" applyFill="1" applyBorder="1" applyAlignment="1">
      <alignment horizontal="center"/>
    </xf>
    <xf numFmtId="3" fontId="12" fillId="4" borderId="2" xfId="2" applyNumberFormat="1" applyFont="1" applyFill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3" fontId="12" fillId="4" borderId="4" xfId="2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9" fillId="4" borderId="12" xfId="0" applyFont="1" applyFill="1" applyBorder="1" applyAlignment="1">
      <alignment horizontal="center"/>
    </xf>
    <xf numFmtId="3" fontId="14" fillId="4" borderId="2" xfId="2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9" fontId="9" fillId="0" borderId="0" xfId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4" fontId="3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165" fontId="2" fillId="0" borderId="0" xfId="0" applyNumberFormat="1" applyFont="1"/>
    <xf numFmtId="1" fontId="14" fillId="0" borderId="0" xfId="0" applyNumberFormat="1" applyFont="1" applyAlignment="1">
      <alignment horizontal="center"/>
    </xf>
    <xf numFmtId="4" fontId="14" fillId="0" borderId="0" xfId="0" applyNumberFormat="1" applyFont="1"/>
    <xf numFmtId="10" fontId="23" fillId="0" borderId="0" xfId="1" applyNumberFormat="1" applyFont="1" applyAlignment="1">
      <alignment horizontal="center"/>
    </xf>
    <xf numFmtId="10" fontId="9" fillId="4" borderId="2" xfId="2" applyNumberFormat="1" applyFont="1" applyFill="1" applyBorder="1" applyAlignment="1">
      <alignment horizontal="center"/>
    </xf>
    <xf numFmtId="3" fontId="25" fillId="0" borderId="2" xfId="2" applyNumberFormat="1" applyFont="1" applyBorder="1" applyAlignment="1">
      <alignment horizontal="center" vertical="center" wrapText="1"/>
    </xf>
    <xf numFmtId="2" fontId="0" fillId="0" borderId="0" xfId="0" applyNumberFormat="1"/>
    <xf numFmtId="3" fontId="19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3" fontId="25" fillId="0" borderId="4" xfId="2" applyNumberFormat="1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/>
      <protection locked="0"/>
    </xf>
    <xf numFmtId="3" fontId="11" fillId="0" borderId="4" xfId="0" applyNumberFormat="1" applyFont="1" applyBorder="1" applyAlignment="1">
      <alignment horizontal="center"/>
    </xf>
    <xf numFmtId="0" fontId="4" fillId="5" borderId="6" xfId="2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5" fontId="27" fillId="0" borderId="0" xfId="0" applyNumberFormat="1" applyFont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center" vertical="center"/>
    </xf>
    <xf numFmtId="0" fontId="29" fillId="0" borderId="4" xfId="2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  <xf numFmtId="0" fontId="3" fillId="0" borderId="4" xfId="0" applyFont="1" applyBorder="1"/>
    <xf numFmtId="3" fontId="11" fillId="0" borderId="4" xfId="2" applyNumberFormat="1" applyFont="1" applyBorder="1" applyAlignment="1">
      <alignment horizontal="center"/>
    </xf>
    <xf numFmtId="3" fontId="12" fillId="0" borderId="4" xfId="2" applyNumberFormat="1" applyFont="1" applyBorder="1" applyAlignment="1">
      <alignment horizontal="center"/>
    </xf>
    <xf numFmtId="3" fontId="18" fillId="0" borderId="14" xfId="0" applyNumberFormat="1" applyFont="1" applyBorder="1" applyAlignment="1">
      <alignment horizontal="center"/>
    </xf>
    <xf numFmtId="166" fontId="13" fillId="0" borderId="4" xfId="2" applyNumberFormat="1" applyFont="1" applyBorder="1" applyAlignment="1">
      <alignment horizontal="center"/>
    </xf>
    <xf numFmtId="3" fontId="31" fillId="0" borderId="4" xfId="2" applyNumberFormat="1" applyFont="1" applyBorder="1" applyAlignment="1">
      <alignment horizontal="center" vertical="center" wrapText="1"/>
    </xf>
    <xf numFmtId="166" fontId="13" fillId="0" borderId="0" xfId="2" applyNumberFormat="1" applyFont="1" applyAlignment="1">
      <alignment horizontal="center"/>
    </xf>
    <xf numFmtId="3" fontId="12" fillId="0" borderId="1" xfId="2" applyNumberFormat="1" applyFont="1" applyBorder="1" applyAlignment="1">
      <alignment horizontal="center"/>
    </xf>
    <xf numFmtId="49" fontId="11" fillId="0" borderId="1" xfId="0" applyNumberFormat="1" applyFont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center"/>
      <protection locked="0"/>
    </xf>
    <xf numFmtId="49" fontId="11" fillId="0" borderId="5" xfId="0" applyNumberFormat="1" applyFont="1" applyBorder="1" applyAlignment="1" applyProtection="1">
      <alignment horizontal="left"/>
      <protection locked="0"/>
    </xf>
    <xf numFmtId="49" fontId="11" fillId="0" borderId="4" xfId="0" applyNumberFormat="1" applyFont="1" applyBorder="1" applyAlignment="1" applyProtection="1">
      <alignment horizontal="left"/>
      <protection locked="0"/>
    </xf>
    <xf numFmtId="3" fontId="32" fillId="0" borderId="4" xfId="2" applyNumberFormat="1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/>
      <protection locked="0"/>
    </xf>
    <xf numFmtId="1" fontId="17" fillId="0" borderId="4" xfId="0" quotePrefix="1" applyNumberFormat="1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1" fontId="10" fillId="0" borderId="4" xfId="0" quotePrefix="1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left"/>
    </xf>
    <xf numFmtId="168" fontId="0" fillId="0" borderId="0" xfId="0" applyNumberFormat="1"/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6" xfId="2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left"/>
      <protection locked="0"/>
    </xf>
    <xf numFmtId="3" fontId="18" fillId="0" borderId="0" xfId="0" applyNumberFormat="1" applyFont="1" applyAlignment="1">
      <alignment horizontal="center"/>
    </xf>
    <xf numFmtId="3" fontId="25" fillId="0" borderId="0" xfId="2" applyNumberFormat="1" applyFont="1" applyAlignment="1">
      <alignment horizontal="center" vertical="center" wrapText="1"/>
    </xf>
    <xf numFmtId="3" fontId="32" fillId="0" borderId="0" xfId="2" applyNumberFormat="1" applyFont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left"/>
    </xf>
    <xf numFmtId="0" fontId="9" fillId="0" borderId="12" xfId="0" applyFont="1" applyBorder="1" applyAlignment="1">
      <alignment horizontal="center" vertical="center" wrapText="1"/>
    </xf>
    <xf numFmtId="3" fontId="4" fillId="4" borderId="4" xfId="2" applyNumberFormat="1" applyFont="1" applyFill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7" fillId="4" borderId="1" xfId="2" applyNumberFormat="1" applyFont="1" applyFill="1" applyBorder="1"/>
    <xf numFmtId="4" fontId="21" fillId="4" borderId="4" xfId="2" applyNumberFormat="1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49" fontId="27" fillId="0" borderId="1" xfId="0" applyNumberFormat="1" applyFont="1" applyBorder="1" applyAlignment="1" applyProtection="1">
      <alignment horizontal="left"/>
      <protection locked="0"/>
    </xf>
    <xf numFmtId="0" fontId="27" fillId="0" borderId="1" xfId="0" applyFont="1" applyBorder="1" applyAlignment="1" applyProtection="1">
      <alignment horizontal="left"/>
      <protection locked="0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4" fontId="34" fillId="0" borderId="4" xfId="2" applyNumberFormat="1" applyFont="1" applyBorder="1" applyAlignment="1">
      <alignment horizontal="center"/>
    </xf>
    <xf numFmtId="4" fontId="34" fillId="4" borderId="4" xfId="2" applyNumberFormat="1" applyFont="1" applyFill="1" applyBorder="1" applyAlignment="1">
      <alignment horizontal="center"/>
    </xf>
    <xf numFmtId="0" fontId="27" fillId="3" borderId="1" xfId="0" applyFont="1" applyFill="1" applyBorder="1" applyAlignment="1" applyProtection="1">
      <alignment horizontal="left"/>
      <protection locked="0"/>
    </xf>
    <xf numFmtId="49" fontId="27" fillId="3" borderId="1" xfId="0" applyNumberFormat="1" applyFont="1" applyFill="1" applyBorder="1" applyAlignment="1" applyProtection="1">
      <alignment horizontal="left"/>
      <protection locked="0"/>
    </xf>
    <xf numFmtId="0" fontId="27" fillId="3" borderId="16" xfId="2" applyFont="1" applyFill="1" applyBorder="1" applyAlignment="1">
      <alignment horizontal="center" vertical="center" wrapText="1"/>
    </xf>
    <xf numFmtId="0" fontId="27" fillId="3" borderId="17" xfId="2" applyFont="1" applyFill="1" applyBorder="1" applyAlignment="1">
      <alignment horizontal="center" vertical="center" wrapText="1"/>
    </xf>
    <xf numFmtId="4" fontId="21" fillId="4" borderId="18" xfId="2" applyNumberFormat="1" applyFont="1" applyFill="1" applyBorder="1" applyAlignment="1">
      <alignment horizontal="center"/>
    </xf>
    <xf numFmtId="4" fontId="21" fillId="4" borderId="19" xfId="2" applyNumberFormat="1" applyFont="1" applyFill="1" applyBorder="1" applyAlignment="1">
      <alignment horizontal="center"/>
    </xf>
    <xf numFmtId="4" fontId="34" fillId="0" borderId="18" xfId="2" applyNumberFormat="1" applyFont="1" applyBorder="1" applyAlignment="1">
      <alignment horizontal="center"/>
    </xf>
    <xf numFmtId="4" fontId="34" fillId="0" borderId="19" xfId="2" applyNumberFormat="1" applyFont="1" applyBorder="1" applyAlignment="1">
      <alignment horizontal="center"/>
    </xf>
    <xf numFmtId="4" fontId="34" fillId="4" borderId="18" xfId="2" applyNumberFormat="1" applyFont="1" applyFill="1" applyBorder="1" applyAlignment="1">
      <alignment horizontal="center"/>
    </xf>
    <xf numFmtId="4" fontId="34" fillId="4" borderId="19" xfId="2" applyNumberFormat="1" applyFont="1" applyFill="1" applyBorder="1" applyAlignment="1">
      <alignment horizontal="center"/>
    </xf>
    <xf numFmtId="0" fontId="0" fillId="0" borderId="20" xfId="0" applyBorder="1"/>
    <xf numFmtId="0" fontId="27" fillId="3" borderId="21" xfId="2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/>
    </xf>
    <xf numFmtId="0" fontId="21" fillId="4" borderId="12" xfId="0" applyFont="1" applyFill="1" applyBorder="1" applyAlignment="1">
      <alignment horizontal="center"/>
    </xf>
    <xf numFmtId="4" fontId="27" fillId="4" borderId="9" xfId="2" applyNumberFormat="1" applyFont="1" applyFill="1" applyBorder="1"/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17" fontId="28" fillId="0" borderId="24" xfId="2" applyNumberFormat="1" applyFont="1" applyBorder="1" applyAlignment="1">
      <alignment vertical="center"/>
    </xf>
    <xf numFmtId="4" fontId="34" fillId="0" borderId="6" xfId="2" applyNumberFormat="1" applyFont="1" applyBorder="1" applyAlignment="1">
      <alignment horizontal="center"/>
    </xf>
    <xf numFmtId="4" fontId="34" fillId="0" borderId="25" xfId="2" applyNumberFormat="1" applyFont="1" applyBorder="1" applyAlignment="1">
      <alignment horizontal="center"/>
    </xf>
    <xf numFmtId="17" fontId="30" fillId="0" borderId="6" xfId="2" applyNumberFormat="1" applyFont="1" applyBorder="1" applyAlignment="1">
      <alignment horizontal="left" vertical="center"/>
    </xf>
    <xf numFmtId="0" fontId="30" fillId="0" borderId="7" xfId="2" applyFont="1" applyBorder="1" applyAlignment="1">
      <alignment horizontal="left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17" fontId="7" fillId="0" borderId="1" xfId="2" applyNumberFormat="1" applyFont="1" applyBorder="1" applyAlignment="1">
      <alignment horizontal="center" vertical="center"/>
    </xf>
    <xf numFmtId="17" fontId="7" fillId="0" borderId="2" xfId="2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17" fontId="6" fillId="0" borderId="6" xfId="2" applyNumberFormat="1" applyFont="1" applyBorder="1" applyAlignment="1">
      <alignment horizontal="left" vertical="center"/>
    </xf>
    <xf numFmtId="17" fontId="6" fillId="0" borderId="7" xfId="2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8" fillId="2" borderId="12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 vertical="center" wrapText="1"/>
    </xf>
    <xf numFmtId="0" fontId="4" fillId="5" borderId="7" xfId="2" applyFont="1" applyFill="1" applyBorder="1" applyAlignment="1">
      <alignment horizontal="center" vertical="center" wrapText="1"/>
    </xf>
  </cellXfs>
  <cellStyles count="3">
    <cellStyle name="Normal" xfId="0" builtinId="0"/>
    <cellStyle name="Normal_MAYIS UYGULAMA" xfId="2" xr:uid="{00000000-0005-0000-0000-000001000000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"/>
  <sheetViews>
    <sheetView tabSelected="1" zoomScaleNormal="100" workbookViewId="0">
      <pane xSplit="3" ySplit="1" topLeftCell="D10" activePane="bottomRight" state="frozen"/>
      <selection pane="topRight" activeCell="D1" sqref="D1"/>
      <selection pane="bottomLeft" activeCell="A5" sqref="A5"/>
      <selection pane="bottomRight" activeCell="C33" sqref="C33"/>
    </sheetView>
  </sheetViews>
  <sheetFormatPr defaultColWidth="8.85546875" defaultRowHeight="15.75" x14ac:dyDescent="0.25"/>
  <cols>
    <col min="1" max="1" width="15.85546875" style="134" customWidth="1"/>
    <col min="2" max="2" width="15.5703125" style="134" customWidth="1"/>
    <col min="3" max="3" width="44.42578125" customWidth="1"/>
    <col min="4" max="6" width="17.85546875" customWidth="1"/>
    <col min="7" max="8" width="16.42578125" style="13" customWidth="1"/>
    <col min="9" max="9" width="13.5703125" style="13" customWidth="1"/>
    <col min="10" max="14" width="13.5703125" customWidth="1"/>
  </cols>
  <sheetData>
    <row r="1" spans="1:13" ht="48.75" thickTop="1" thickBot="1" x14ac:dyDescent="0.3">
      <c r="A1" s="161" t="s">
        <v>124</v>
      </c>
      <c r="B1" s="162" t="s">
        <v>125</v>
      </c>
      <c r="C1" s="163" t="s">
        <v>1</v>
      </c>
      <c r="D1" s="157" t="s">
        <v>132</v>
      </c>
      <c r="E1" s="148" t="s">
        <v>133</v>
      </c>
      <c r="F1" s="149" t="s">
        <v>134</v>
      </c>
      <c r="G1" s="39"/>
      <c r="H1" s="39"/>
      <c r="I1" s="39"/>
      <c r="J1" s="53"/>
    </row>
    <row r="2" spans="1:13" s="14" customFormat="1" x14ac:dyDescent="0.25">
      <c r="A2" s="158"/>
      <c r="B2" s="159"/>
      <c r="C2" s="160" t="s">
        <v>130</v>
      </c>
      <c r="D2" s="150"/>
      <c r="E2" s="136"/>
      <c r="F2" s="151"/>
      <c r="G2" s="39"/>
      <c r="H2" s="39"/>
      <c r="I2" s="39"/>
      <c r="K2"/>
      <c r="L2"/>
      <c r="M2"/>
    </row>
    <row r="3" spans="1:13" s="14" customFormat="1" x14ac:dyDescent="0.25">
      <c r="A3" s="139">
        <v>9208021100</v>
      </c>
      <c r="B3" s="139">
        <v>9208011100</v>
      </c>
      <c r="C3" s="146" t="s">
        <v>85</v>
      </c>
      <c r="D3" s="152">
        <v>55061.528371200002</v>
      </c>
      <c r="E3" s="144">
        <v>57179.279462400009</v>
      </c>
      <c r="F3" s="153">
        <v>59297.030553600009</v>
      </c>
      <c r="G3" s="68"/>
      <c r="H3" s="54"/>
      <c r="I3" s="53"/>
      <c r="J3" s="25"/>
      <c r="K3"/>
      <c r="L3"/>
    </row>
    <row r="4" spans="1:13" s="14" customFormat="1" x14ac:dyDescent="0.25">
      <c r="A4" s="137"/>
      <c r="B4" s="138"/>
      <c r="C4" s="135" t="s">
        <v>129</v>
      </c>
      <c r="D4" s="154"/>
      <c r="E4" s="145"/>
      <c r="F4" s="155"/>
      <c r="H4" s="54"/>
      <c r="I4" s="53"/>
      <c r="J4" s="25"/>
      <c r="K4"/>
      <c r="M4" s="41"/>
    </row>
    <row r="5" spans="1:13" s="14" customFormat="1" x14ac:dyDescent="0.25">
      <c r="A5" s="139">
        <v>9207921100</v>
      </c>
      <c r="B5" s="139">
        <v>9207931100</v>
      </c>
      <c r="C5" s="146" t="s">
        <v>89</v>
      </c>
      <c r="D5" s="152">
        <v>44275.897036800008</v>
      </c>
      <c r="E5" s="144">
        <v>45978.816153600012</v>
      </c>
      <c r="F5" s="153">
        <v>47681.735270400008</v>
      </c>
      <c r="G5" s="68"/>
      <c r="H5" s="54"/>
      <c r="I5" s="53"/>
      <c r="J5" s="25"/>
      <c r="K5"/>
      <c r="L5"/>
    </row>
    <row r="6" spans="1:13" s="14" customFormat="1" x14ac:dyDescent="0.25">
      <c r="A6" s="138"/>
      <c r="B6" s="138"/>
      <c r="C6" s="135" t="s">
        <v>128</v>
      </c>
      <c r="D6" s="154"/>
      <c r="E6" s="145"/>
      <c r="F6" s="155"/>
      <c r="H6" s="54"/>
      <c r="I6" s="53"/>
      <c r="J6" s="25"/>
      <c r="K6"/>
      <c r="L6"/>
      <c r="M6" s="41"/>
    </row>
    <row r="7" spans="1:13" s="14" customFormat="1" x14ac:dyDescent="0.25">
      <c r="A7" s="139">
        <v>9212761100</v>
      </c>
      <c r="B7" s="139">
        <v>9212751100</v>
      </c>
      <c r="C7" s="140" t="s">
        <v>108</v>
      </c>
      <c r="D7" s="152">
        <v>40206.175027199999</v>
      </c>
      <c r="E7" s="144">
        <v>41752.566374400005</v>
      </c>
      <c r="F7" s="153">
        <v>43298.957721600003</v>
      </c>
      <c r="G7" s="55"/>
      <c r="H7" s="54"/>
      <c r="I7" s="53"/>
      <c r="J7" s="25"/>
      <c r="K7"/>
      <c r="L7"/>
    </row>
    <row r="8" spans="1:13" s="14" customFormat="1" x14ac:dyDescent="0.25">
      <c r="A8" s="139">
        <v>9212781100</v>
      </c>
      <c r="B8" s="139">
        <v>9212771100</v>
      </c>
      <c r="C8" s="140" t="s">
        <v>109</v>
      </c>
      <c r="D8" s="152">
        <v>43988.214067199995</v>
      </c>
      <c r="E8" s="144">
        <v>45680.068454399996</v>
      </c>
      <c r="F8" s="153">
        <v>47371.922841599997</v>
      </c>
      <c r="G8" s="55"/>
      <c r="H8" s="54"/>
      <c r="I8" s="53"/>
      <c r="J8" s="25"/>
      <c r="K8"/>
      <c r="L8"/>
      <c r="M8" s="41"/>
    </row>
    <row r="9" spans="1:13" s="14" customFormat="1" x14ac:dyDescent="0.25">
      <c r="A9" s="139">
        <v>9212801100</v>
      </c>
      <c r="B9" s="139">
        <v>9212791100</v>
      </c>
      <c r="C9" s="140" t="s">
        <v>110</v>
      </c>
      <c r="D9" s="152">
        <v>59096.530022400002</v>
      </c>
      <c r="E9" s="144">
        <v>61369.473484800008</v>
      </c>
      <c r="F9" s="153">
        <v>63642.416947200007</v>
      </c>
      <c r="G9" s="55"/>
      <c r="H9" s="54"/>
      <c r="I9" s="53"/>
      <c r="J9" s="25"/>
      <c r="K9"/>
      <c r="L9"/>
      <c r="M9" s="41"/>
    </row>
    <row r="10" spans="1:13" s="14" customFormat="1" x14ac:dyDescent="0.25">
      <c r="A10" s="139">
        <v>9212821100</v>
      </c>
      <c r="B10" s="139">
        <v>9212811100</v>
      </c>
      <c r="C10" s="140" t="s">
        <v>111</v>
      </c>
      <c r="D10" s="152">
        <v>71645.459558400005</v>
      </c>
      <c r="E10" s="144">
        <v>74401.054156800004</v>
      </c>
      <c r="F10" s="153">
        <v>77156.648755200018</v>
      </c>
      <c r="G10" s="55"/>
      <c r="H10" s="54"/>
      <c r="I10" s="53"/>
      <c r="J10" s="25"/>
      <c r="K10"/>
      <c r="L10"/>
      <c r="M10" s="41"/>
    </row>
    <row r="11" spans="1:13" s="14" customFormat="1" x14ac:dyDescent="0.25">
      <c r="A11" s="138"/>
      <c r="B11" s="138"/>
      <c r="C11" s="135" t="s">
        <v>127</v>
      </c>
      <c r="D11" s="154"/>
      <c r="E11" s="145"/>
      <c r="F11" s="155"/>
      <c r="G11" s="55"/>
      <c r="H11" s="54"/>
      <c r="I11" s="53"/>
      <c r="J11" s="25"/>
      <c r="K11"/>
      <c r="L11"/>
      <c r="M11" s="41"/>
    </row>
    <row r="12" spans="1:13" s="14" customFormat="1" x14ac:dyDescent="0.25">
      <c r="A12" s="139">
        <v>9212841100</v>
      </c>
      <c r="B12" s="139">
        <v>9212831100</v>
      </c>
      <c r="C12" s="140" t="s">
        <v>112</v>
      </c>
      <c r="D12" s="152">
        <v>36354.6952704</v>
      </c>
      <c r="E12" s="144">
        <v>37752.952780800006</v>
      </c>
      <c r="F12" s="153">
        <v>39151.210291200005</v>
      </c>
      <c r="G12" s="55"/>
      <c r="H12" s="54"/>
      <c r="I12" s="53"/>
      <c r="J12" s="25"/>
      <c r="K12"/>
      <c r="L12"/>
      <c r="M12" s="41"/>
    </row>
    <row r="13" spans="1:13" s="14" customFormat="1" x14ac:dyDescent="0.25">
      <c r="A13" s="139">
        <v>9212861100</v>
      </c>
      <c r="B13" s="139">
        <v>9212851100</v>
      </c>
      <c r="C13" s="140" t="s">
        <v>113</v>
      </c>
      <c r="D13" s="152">
        <v>38909.1216384</v>
      </c>
      <c r="E13" s="144">
        <v>40405.6263168</v>
      </c>
      <c r="F13" s="153">
        <v>41902.130995200001</v>
      </c>
      <c r="G13" s="55"/>
      <c r="H13" s="54"/>
      <c r="I13" s="53"/>
      <c r="J13" s="25"/>
      <c r="K13"/>
      <c r="L13"/>
      <c r="M13" s="41"/>
    </row>
    <row r="14" spans="1:13" s="14" customFormat="1" x14ac:dyDescent="0.25">
      <c r="A14" s="139">
        <v>9212881100</v>
      </c>
      <c r="B14" s="139">
        <v>9212871100</v>
      </c>
      <c r="C14" s="140" t="s">
        <v>114</v>
      </c>
      <c r="D14" s="152">
        <v>53690.074214400003</v>
      </c>
      <c r="E14" s="144">
        <v>55755.077068800005</v>
      </c>
      <c r="F14" s="153">
        <v>57820.079923200006</v>
      </c>
      <c r="G14" s="55"/>
      <c r="H14" s="54"/>
      <c r="I14" s="53"/>
      <c r="J14" s="25"/>
      <c r="K14"/>
      <c r="L14"/>
      <c r="M14" s="41"/>
    </row>
    <row r="15" spans="1:13" s="14" customFormat="1" x14ac:dyDescent="0.25">
      <c r="A15" s="139">
        <v>9212901100</v>
      </c>
      <c r="B15" s="139">
        <v>9212891100</v>
      </c>
      <c r="C15" s="140" t="s">
        <v>115</v>
      </c>
      <c r="D15" s="152">
        <v>63322.493644800008</v>
      </c>
      <c r="E15" s="144">
        <v>65757.974169600013</v>
      </c>
      <c r="F15" s="153">
        <v>68193.454694400003</v>
      </c>
      <c r="G15" s="55"/>
      <c r="H15" s="54"/>
      <c r="I15" s="53"/>
      <c r="J15" s="25"/>
      <c r="K15"/>
      <c r="L15"/>
      <c r="M15" s="41"/>
    </row>
    <row r="16" spans="1:13" x14ac:dyDescent="0.25">
      <c r="A16" s="137"/>
      <c r="B16" s="138"/>
      <c r="C16" s="135" t="s">
        <v>126</v>
      </c>
      <c r="D16" s="154"/>
      <c r="E16" s="145"/>
      <c r="F16" s="155"/>
      <c r="G16" s="55"/>
      <c r="H16" s="54"/>
      <c r="I16" s="53"/>
      <c r="M16" s="41"/>
    </row>
    <row r="17" spans="1:13" x14ac:dyDescent="0.25">
      <c r="A17" s="139">
        <v>9205841100</v>
      </c>
      <c r="B17" s="139">
        <v>9205831100</v>
      </c>
      <c r="C17" s="147" t="s">
        <v>66</v>
      </c>
      <c r="D17" s="152">
        <v>26402.3525376</v>
      </c>
      <c r="E17" s="144">
        <v>27417.827635200003</v>
      </c>
      <c r="F17" s="153">
        <v>28433.302732800003</v>
      </c>
      <c r="G17" s="55"/>
      <c r="H17" s="54"/>
      <c r="I17" s="53"/>
      <c r="M17" s="41"/>
    </row>
    <row r="18" spans="1:13" x14ac:dyDescent="0.25">
      <c r="A18" s="139">
        <v>9209371100</v>
      </c>
      <c r="B18" s="139">
        <v>9209361100</v>
      </c>
      <c r="C18" s="141" t="s">
        <v>136</v>
      </c>
      <c r="D18" s="152">
        <v>29271.742156800006</v>
      </c>
      <c r="E18" s="144">
        <v>30397.578393600008</v>
      </c>
      <c r="F18" s="153">
        <v>31523.41463040001</v>
      </c>
      <c r="G18" s="55"/>
      <c r="H18" s="54"/>
      <c r="I18" s="53"/>
      <c r="M18" s="41"/>
    </row>
    <row r="19" spans="1:13" x14ac:dyDescent="0.25">
      <c r="A19" s="139">
        <v>9209351100</v>
      </c>
      <c r="B19" s="139">
        <v>9209341100</v>
      </c>
      <c r="C19" s="141" t="s">
        <v>137</v>
      </c>
      <c r="D19" s="152">
        <v>31637.686579200006</v>
      </c>
      <c r="E19" s="144">
        <v>32854.520678400011</v>
      </c>
      <c r="F19" s="153">
        <v>34071.354777600012</v>
      </c>
      <c r="G19" s="55"/>
      <c r="H19" s="54"/>
      <c r="I19" s="53"/>
      <c r="M19" s="41"/>
    </row>
    <row r="20" spans="1:13" s="14" customFormat="1" x14ac:dyDescent="0.25">
      <c r="A20" s="139">
        <v>9209731100</v>
      </c>
      <c r="B20" s="139">
        <v>9209721100</v>
      </c>
      <c r="C20" s="141" t="s">
        <v>139</v>
      </c>
      <c r="D20" s="152">
        <v>29271.742156800006</v>
      </c>
      <c r="E20" s="144">
        <v>30397.578393600008</v>
      </c>
      <c r="F20" s="153">
        <v>31523.41463040001</v>
      </c>
      <c r="G20" s="68"/>
      <c r="H20" s="54"/>
      <c r="I20" s="53"/>
      <c r="M20" s="40"/>
    </row>
    <row r="21" spans="1:13" x14ac:dyDescent="0.25">
      <c r="A21" s="139">
        <v>8808761100</v>
      </c>
      <c r="B21" s="139">
        <v>8808751100</v>
      </c>
      <c r="C21" s="141">
        <v>15325</v>
      </c>
      <c r="D21" s="152">
        <v>37718.709350400008</v>
      </c>
      <c r="E21" s="144">
        <v>39169.428940800004</v>
      </c>
      <c r="F21" s="153">
        <v>40620.148531200008</v>
      </c>
      <c r="G21" s="55"/>
      <c r="H21" s="54"/>
      <c r="I21" s="53"/>
      <c r="M21" s="41"/>
    </row>
    <row r="22" spans="1:13" x14ac:dyDescent="0.25">
      <c r="A22" s="139">
        <v>8866261100</v>
      </c>
      <c r="B22" s="139">
        <v>8866271100</v>
      </c>
      <c r="C22" s="141">
        <v>18325</v>
      </c>
      <c r="D22" s="152">
        <v>43854.292684800006</v>
      </c>
      <c r="E22" s="144">
        <v>45540.996249600008</v>
      </c>
      <c r="F22" s="153">
        <v>47227.69981440001</v>
      </c>
      <c r="G22" s="55"/>
      <c r="H22" s="54"/>
      <c r="I22" s="53"/>
      <c r="M22" s="41"/>
    </row>
    <row r="23" spans="1:13" x14ac:dyDescent="0.25">
      <c r="A23" s="142">
        <v>9212271100</v>
      </c>
      <c r="B23" s="143">
        <v>9212261100</v>
      </c>
      <c r="C23" s="141" t="s">
        <v>138</v>
      </c>
      <c r="D23" s="152">
        <v>48127.376793600008</v>
      </c>
      <c r="E23" s="144">
        <v>49978.429747200011</v>
      </c>
      <c r="F23" s="153">
        <v>51829.482700800007</v>
      </c>
      <c r="G23" s="55"/>
      <c r="H23" s="54"/>
      <c r="I23" s="53"/>
      <c r="M23" s="41"/>
    </row>
    <row r="24" spans="1:13" x14ac:dyDescent="0.25">
      <c r="A24" s="139">
        <v>8866241100</v>
      </c>
      <c r="B24" s="139">
        <v>8866251100</v>
      </c>
      <c r="C24" s="141">
        <v>24325</v>
      </c>
      <c r="D24" s="152">
        <v>52130.138112000008</v>
      </c>
      <c r="E24" s="144">
        <v>54135.143424000009</v>
      </c>
      <c r="F24" s="153">
        <v>56140.14873600001</v>
      </c>
      <c r="G24" s="55"/>
      <c r="H24" s="54"/>
      <c r="I24" s="53"/>
      <c r="M24" s="41"/>
    </row>
    <row r="25" spans="1:13" x14ac:dyDescent="0.25">
      <c r="A25" s="137"/>
      <c r="B25" s="138"/>
      <c r="C25" s="135" t="s">
        <v>53</v>
      </c>
      <c r="D25" s="154"/>
      <c r="E25" s="145"/>
      <c r="F25" s="155"/>
      <c r="G25" s="55"/>
      <c r="H25" s="54"/>
      <c r="I25" s="53"/>
      <c r="M25" s="41"/>
    </row>
    <row r="26" spans="1:13" x14ac:dyDescent="0.25">
      <c r="A26" s="139">
        <v>9215531100</v>
      </c>
      <c r="B26" s="139">
        <v>9215521100</v>
      </c>
      <c r="C26" s="141" t="s">
        <v>121</v>
      </c>
      <c r="D26" s="152">
        <v>58131.80006400001</v>
      </c>
      <c r="E26" s="144">
        <v>60367.638528000018</v>
      </c>
      <c r="F26" s="153">
        <v>62603.476992000018</v>
      </c>
      <c r="G26" s="68"/>
      <c r="H26" s="54"/>
      <c r="I26" s="53"/>
      <c r="M26" s="41"/>
    </row>
    <row r="27" spans="1:13" x14ac:dyDescent="0.25">
      <c r="A27" s="139">
        <v>8510861100</v>
      </c>
      <c r="B27" s="139">
        <v>8510851100</v>
      </c>
      <c r="C27" s="141" t="s">
        <v>99</v>
      </c>
      <c r="D27" s="152">
        <v>85231.03979520002</v>
      </c>
      <c r="E27" s="144">
        <v>88509.156710400013</v>
      </c>
      <c r="F27" s="153">
        <v>91787.273625600021</v>
      </c>
      <c r="G27" s="68"/>
      <c r="H27" s="54"/>
      <c r="I27" s="53"/>
      <c r="M27" s="41"/>
    </row>
    <row r="28" spans="1:13" x14ac:dyDescent="0.25">
      <c r="A28" s="139">
        <v>8505591100</v>
      </c>
      <c r="B28" s="139">
        <v>8505581100</v>
      </c>
      <c r="C28" s="141" t="s">
        <v>78</v>
      </c>
      <c r="D28" s="152">
        <v>121761.81688320001</v>
      </c>
      <c r="E28" s="144">
        <v>126444.96368640002</v>
      </c>
      <c r="F28" s="153">
        <v>131128.11048960002</v>
      </c>
      <c r="G28" s="68"/>
      <c r="H28" s="54"/>
      <c r="I28" s="53"/>
      <c r="M28" s="41"/>
    </row>
    <row r="29" spans="1:13" x14ac:dyDescent="0.25">
      <c r="A29" s="139">
        <v>9217341200</v>
      </c>
      <c r="B29" s="139">
        <v>9217341100</v>
      </c>
      <c r="C29" s="141" t="s">
        <v>122</v>
      </c>
      <c r="D29" s="152">
        <v>140002.40517119999</v>
      </c>
      <c r="E29" s="144">
        <v>145387.11306239999</v>
      </c>
      <c r="F29" s="153">
        <v>150771.82095359999</v>
      </c>
      <c r="G29" s="68"/>
      <c r="H29" s="54"/>
      <c r="I29" s="53"/>
      <c r="M29" s="41"/>
    </row>
    <row r="30" spans="1:13" x14ac:dyDescent="0.25">
      <c r="A30" s="138"/>
      <c r="B30" s="138"/>
      <c r="C30" s="135" t="s">
        <v>77</v>
      </c>
      <c r="D30" s="154"/>
      <c r="E30" s="145"/>
      <c r="F30" s="155"/>
      <c r="H30" s="39"/>
    </row>
    <row r="31" spans="1:13" ht="16.5" thickBot="1" x14ac:dyDescent="0.3">
      <c r="B31" s="139">
        <v>8511191100</v>
      </c>
      <c r="C31" s="141" t="s">
        <v>97</v>
      </c>
      <c r="D31" s="152">
        <v>25144.979558400002</v>
      </c>
      <c r="E31" s="164">
        <v>26112.094156800005</v>
      </c>
      <c r="F31" s="165">
        <v>27079.208755200005</v>
      </c>
    </row>
    <row r="32" spans="1:13" ht="16.5" thickTop="1" x14ac:dyDescent="0.25">
      <c r="D32" s="156"/>
      <c r="E32" s="156"/>
      <c r="F32" s="156"/>
    </row>
  </sheetData>
  <pageMargins left="0.11811023622047245" right="0.11811023622047245" top="0.55118110236220474" bottom="0.35433070866141736" header="0.31496062992125984" footer="0.31496062992125984"/>
  <pageSetup paperSize="9" scale="40" orientation="landscape" r:id="rId1"/>
  <headerFooter>
    <oddFooter>&amp;L&amp;1#&amp;"Calibri"&amp;12&amp;KFF8C00Sensitivity: Public&amp;R&amp;1#&amp;"Calibri"&amp;12&amp;KFF8C00Sensitivity: Public</oddFooter>
  </headerFooter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4224-72B3-400E-AFCB-DD73DF9B220D}">
  <dimension ref="A1:AV50"/>
  <sheetViews>
    <sheetView topLeftCell="B1" zoomScale="60" zoomScaleNormal="60" workbookViewId="0">
      <selection activeCell="B1" sqref="B1"/>
    </sheetView>
  </sheetViews>
  <sheetFormatPr defaultColWidth="8.85546875" defaultRowHeight="18" x14ac:dyDescent="0.25"/>
  <cols>
    <col min="1" max="1" width="13.5703125" hidden="1" customWidth="1"/>
    <col min="2" max="3" width="14.140625" style="11" customWidth="1"/>
    <col min="4" max="4" width="45.85546875" style="12" customWidth="1"/>
    <col min="5" max="5" width="8.85546875" style="11"/>
    <col min="6" max="6" width="7.5703125" style="19" customWidth="1"/>
    <col min="7" max="7" width="11.140625" style="12" customWidth="1"/>
    <col min="8" max="8" width="15.5703125" style="12" customWidth="1"/>
    <col min="9" max="9" width="11.5703125" style="12" customWidth="1"/>
    <col min="10" max="10" width="15.42578125" style="12" customWidth="1"/>
    <col min="11" max="11" width="14.42578125" style="11" bestFit="1" customWidth="1"/>
    <col min="12" max="12" width="18" style="11" bestFit="1" customWidth="1"/>
    <col min="13" max="13" width="25.5703125" style="11" bestFit="1" customWidth="1"/>
    <col min="14" max="14" width="10.42578125" style="11" bestFit="1" customWidth="1"/>
    <col min="15" max="16" width="12.42578125" style="11" customWidth="1"/>
    <col min="17" max="17" width="10.42578125" style="24" customWidth="1"/>
    <col min="18" max="18" width="10.85546875" style="24" customWidth="1"/>
    <col min="19" max="19" width="12.85546875" style="12" customWidth="1"/>
    <col min="20" max="20" width="10.85546875" style="12" customWidth="1"/>
    <col min="21" max="21" width="11.85546875" style="12" customWidth="1"/>
    <col min="22" max="22" width="11" style="12" customWidth="1"/>
    <col min="23" max="23" width="4.85546875" style="11" customWidth="1"/>
    <col min="24" max="24" width="15.42578125" style="11" hidden="1" customWidth="1"/>
    <col min="25" max="25" width="12.140625" style="11" hidden="1" customWidth="1"/>
    <col min="26" max="26" width="14.42578125" style="12" hidden="1" customWidth="1"/>
    <col min="27" max="27" width="9.5703125" style="11" hidden="1" customWidth="1"/>
    <col min="28" max="29" width="9.5703125" style="12" hidden="1" customWidth="1"/>
    <col min="30" max="30" width="12.5703125" style="11" hidden="1" customWidth="1"/>
    <col min="31" max="31" width="14.140625" style="12" hidden="1" customWidth="1"/>
    <col min="32" max="32" width="14.140625" style="11" hidden="1" customWidth="1"/>
    <col min="33" max="33" width="77.5703125" style="11" hidden="1" customWidth="1"/>
    <col min="34" max="34" width="16.42578125" hidden="1" customWidth="1"/>
    <col min="35" max="35" width="8.85546875" hidden="1" customWidth="1"/>
    <col min="36" max="36" width="9.5703125" hidden="1" customWidth="1"/>
    <col min="37" max="37" width="12.5703125" hidden="1" customWidth="1"/>
    <col min="38" max="38" width="9.5703125" hidden="1" customWidth="1"/>
    <col min="39" max="40" width="9.5703125" style="13" hidden="1" customWidth="1"/>
    <col min="41" max="41" width="8.85546875" style="13" hidden="1" customWidth="1"/>
    <col min="42" max="43" width="7.5703125" hidden="1" customWidth="1"/>
    <col min="44" max="44" width="9" hidden="1" customWidth="1"/>
    <col min="45" max="45" width="7.5703125" hidden="1" customWidth="1"/>
    <col min="46" max="46" width="9" hidden="1" customWidth="1"/>
    <col min="47" max="48" width="8.85546875" hidden="1" customWidth="1"/>
    <col min="49" max="50" width="0" hidden="1" customWidth="1"/>
  </cols>
  <sheetData>
    <row r="1" spans="1:46" ht="31.7" customHeight="1" x14ac:dyDescent="0.25">
      <c r="B1" s="87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22"/>
      <c r="Z1" s="186" t="s">
        <v>24</v>
      </c>
      <c r="AA1" s="186"/>
      <c r="AB1" s="186"/>
      <c r="AC1" s="186"/>
      <c r="AE1" s="87" t="s">
        <v>19</v>
      </c>
      <c r="AF1" s="88"/>
      <c r="AG1" s="12"/>
    </row>
    <row r="2" spans="1:46" ht="18.75" x14ac:dyDescent="0.3">
      <c r="D2" s="118" t="s">
        <v>131</v>
      </c>
      <c r="K2" s="12"/>
      <c r="L2" s="12"/>
      <c r="M2" s="12"/>
      <c r="N2" s="12"/>
      <c r="O2" s="12"/>
      <c r="P2" s="12"/>
      <c r="Q2" s="12"/>
      <c r="R2" s="12"/>
      <c r="AA2" s="12"/>
      <c r="AE2" s="11"/>
      <c r="AG2" s="12"/>
      <c r="AJ2" s="187" t="s">
        <v>135</v>
      </c>
      <c r="AK2" s="187"/>
      <c r="AL2" s="187"/>
      <c r="AM2" s="187"/>
      <c r="AN2" s="188"/>
      <c r="AO2" s="89"/>
    </row>
    <row r="3" spans="1:46" ht="15.75" x14ac:dyDescent="0.25">
      <c r="D3" s="166" t="s">
        <v>1</v>
      </c>
      <c r="E3" s="168" t="s">
        <v>2</v>
      </c>
      <c r="F3" s="169"/>
      <c r="G3" s="172" t="s">
        <v>3</v>
      </c>
      <c r="H3" s="173"/>
      <c r="I3" s="172" t="s">
        <v>4</v>
      </c>
      <c r="J3" s="173"/>
      <c r="K3" s="174" t="s">
        <v>47</v>
      </c>
      <c r="L3" s="189" t="s">
        <v>64</v>
      </c>
      <c r="M3" s="189" t="s">
        <v>65</v>
      </c>
      <c r="N3" s="178" t="s">
        <v>101</v>
      </c>
      <c r="O3" s="179"/>
      <c r="P3" s="180"/>
      <c r="Q3" s="178" t="s">
        <v>72</v>
      </c>
      <c r="R3" s="179"/>
      <c r="S3" s="180"/>
      <c r="T3" s="181" t="s">
        <v>54</v>
      </c>
      <c r="U3" s="182"/>
      <c r="V3" s="183"/>
      <c r="Z3" s="184" t="s">
        <v>75</v>
      </c>
      <c r="AA3" s="185" t="s">
        <v>103</v>
      </c>
      <c r="AB3" s="184" t="s">
        <v>71</v>
      </c>
      <c r="AC3" s="184" t="s">
        <v>0</v>
      </c>
      <c r="AE3" s="15"/>
      <c r="AF3" s="15"/>
      <c r="AG3" s="176" t="s">
        <v>1</v>
      </c>
      <c r="AJ3" s="174" t="s">
        <v>49</v>
      </c>
      <c r="AK3" s="174" t="s">
        <v>105</v>
      </c>
      <c r="AL3" s="174" t="s">
        <v>104</v>
      </c>
      <c r="AM3" s="174" t="s">
        <v>71</v>
      </c>
      <c r="AN3" s="174" t="s">
        <v>0</v>
      </c>
      <c r="AO3" s="90"/>
      <c r="AP3" s="174" t="s">
        <v>49</v>
      </c>
      <c r="AQ3" s="174" t="s">
        <v>74</v>
      </c>
      <c r="AR3" s="174" t="s">
        <v>104</v>
      </c>
      <c r="AS3" s="174" t="s">
        <v>71</v>
      </c>
      <c r="AT3" s="174" t="s">
        <v>0</v>
      </c>
    </row>
    <row r="4" spans="1:46" ht="48.95" customHeight="1" x14ac:dyDescent="0.25">
      <c r="B4" s="16" t="s">
        <v>5</v>
      </c>
      <c r="C4" s="17" t="s">
        <v>6</v>
      </c>
      <c r="D4" s="167"/>
      <c r="E4" s="170"/>
      <c r="F4" s="171"/>
      <c r="G4" s="91" t="s">
        <v>7</v>
      </c>
      <c r="H4" s="91" t="s">
        <v>8</v>
      </c>
      <c r="I4" s="91" t="s">
        <v>7</v>
      </c>
      <c r="J4" s="91" t="s">
        <v>8</v>
      </c>
      <c r="K4" s="175"/>
      <c r="L4" s="190"/>
      <c r="M4" s="190"/>
      <c r="N4" s="116" t="s">
        <v>20</v>
      </c>
      <c r="O4" s="116" t="s">
        <v>102</v>
      </c>
      <c r="P4" s="86" t="s">
        <v>35</v>
      </c>
      <c r="Q4" s="92" t="s">
        <v>20</v>
      </c>
      <c r="R4" s="92" t="s">
        <v>73</v>
      </c>
      <c r="S4" s="86" t="s">
        <v>35</v>
      </c>
      <c r="T4" s="93" t="s">
        <v>20</v>
      </c>
      <c r="U4" s="94" t="s">
        <v>55</v>
      </c>
      <c r="V4" s="86" t="s">
        <v>35</v>
      </c>
      <c r="X4" s="37" t="s">
        <v>43</v>
      </c>
      <c r="Y4" s="86" t="s">
        <v>52</v>
      </c>
      <c r="Z4" s="184"/>
      <c r="AA4" s="185"/>
      <c r="AB4" s="184"/>
      <c r="AC4" s="184"/>
      <c r="AE4" s="16" t="s">
        <v>5</v>
      </c>
      <c r="AF4" s="17" t="s">
        <v>6</v>
      </c>
      <c r="AG4" s="177"/>
      <c r="AJ4" s="175"/>
      <c r="AK4" s="175"/>
      <c r="AL4" s="175"/>
      <c r="AM4" s="175"/>
      <c r="AN4" s="175"/>
      <c r="AO4" s="90"/>
      <c r="AP4" s="175"/>
      <c r="AQ4" s="175"/>
      <c r="AR4" s="175"/>
      <c r="AS4" s="175"/>
      <c r="AT4" s="175"/>
    </row>
    <row r="5" spans="1:46" x14ac:dyDescent="0.25">
      <c r="A5" s="28"/>
      <c r="B5" s="27"/>
      <c r="C5" s="28"/>
      <c r="D5" s="9" t="s">
        <v>26</v>
      </c>
      <c r="E5" s="29"/>
      <c r="F5" s="30"/>
      <c r="G5" s="29"/>
      <c r="H5" s="31"/>
      <c r="I5" s="29"/>
      <c r="J5" s="31"/>
      <c r="K5" s="5"/>
      <c r="L5" s="5"/>
      <c r="M5" s="5"/>
      <c r="N5" s="5"/>
      <c r="O5" s="5"/>
      <c r="P5" s="5"/>
      <c r="Q5" s="23"/>
      <c r="R5" s="23"/>
      <c r="S5" s="5"/>
      <c r="T5" s="5"/>
      <c r="U5" s="5"/>
      <c r="V5" s="5"/>
      <c r="W5" s="36"/>
      <c r="X5" s="36" t="s">
        <v>36</v>
      </c>
      <c r="Y5" s="36"/>
      <c r="Z5" s="20"/>
      <c r="AA5" s="20"/>
      <c r="AB5" s="20"/>
      <c r="AC5" s="20"/>
      <c r="AE5" s="27"/>
      <c r="AF5" s="28"/>
      <c r="AG5" s="9" t="s">
        <v>26</v>
      </c>
      <c r="AJ5" s="20"/>
      <c r="AK5" s="20"/>
      <c r="AL5" s="20"/>
      <c r="AM5" s="20"/>
      <c r="AN5" s="20"/>
      <c r="AP5" s="20"/>
      <c r="AQ5" s="20"/>
      <c r="AR5" s="20"/>
      <c r="AS5" s="20"/>
      <c r="AT5" s="20"/>
    </row>
    <row r="6" spans="1:46" s="14" customFormat="1" ht="18.75" x14ac:dyDescent="0.3">
      <c r="A6" s="95"/>
      <c r="B6" s="32">
        <v>9208021100</v>
      </c>
      <c r="C6" s="32">
        <v>9208011100</v>
      </c>
      <c r="D6" s="33" t="s">
        <v>85</v>
      </c>
      <c r="E6" s="21" t="s">
        <v>9</v>
      </c>
      <c r="F6" s="34" t="s">
        <v>10</v>
      </c>
      <c r="G6" s="96">
        <v>12000</v>
      </c>
      <c r="H6" s="97" t="s">
        <v>25</v>
      </c>
      <c r="I6" s="96">
        <v>13000</v>
      </c>
      <c r="J6" s="97" t="s">
        <v>23</v>
      </c>
      <c r="K6" s="132">
        <f>AA6</f>
        <v>70332</v>
      </c>
      <c r="L6" s="131">
        <v>5000</v>
      </c>
      <c r="M6" s="58">
        <f>P6</f>
        <v>65332</v>
      </c>
      <c r="N6" s="78">
        <f>P6-(O6*2)</f>
        <v>21778</v>
      </c>
      <c r="O6" s="78">
        <f t="shared" ref="O6" si="0">ROUND(P6/3,0)</f>
        <v>21777</v>
      </c>
      <c r="P6" s="79">
        <f>AA6-X6</f>
        <v>65332</v>
      </c>
      <c r="Q6" s="78">
        <f t="shared" ref="Q6" si="1">S6-(R6*4)</f>
        <v>14061</v>
      </c>
      <c r="R6" s="78">
        <f t="shared" ref="R6" si="2">ROUND(S6/5,0)</f>
        <v>14061</v>
      </c>
      <c r="S6" s="79">
        <f t="shared" ref="S6" si="3">AB6-X6</f>
        <v>70305</v>
      </c>
      <c r="T6" s="80">
        <f>V6-(U6*8)</f>
        <v>9573</v>
      </c>
      <c r="U6" s="80">
        <f>ROUND(V6/9,0)</f>
        <v>9569</v>
      </c>
      <c r="V6" s="81">
        <f>AC6-X6</f>
        <v>86125</v>
      </c>
      <c r="W6" s="133" t="s">
        <v>123</v>
      </c>
      <c r="X6" s="11">
        <v>5000</v>
      </c>
      <c r="Y6" s="99">
        <f>M6/M22*100</f>
        <v>173.05114825311895</v>
      </c>
      <c r="Z6" s="83">
        <f>AA6</f>
        <v>70332</v>
      </c>
      <c r="AA6" s="100">
        <v>70332</v>
      </c>
      <c r="AB6" s="100">
        <v>75305</v>
      </c>
      <c r="AC6" s="100">
        <v>91125</v>
      </c>
      <c r="AD6" s="73"/>
      <c r="AE6" s="32">
        <v>9208021200</v>
      </c>
      <c r="AF6" s="32">
        <v>9208011200</v>
      </c>
      <c r="AG6" s="33" t="s">
        <v>86</v>
      </c>
      <c r="AH6" s="71"/>
      <c r="AJ6" s="98">
        <v>65946</v>
      </c>
      <c r="AK6" s="58">
        <v>60946</v>
      </c>
      <c r="AL6" s="117">
        <v>60946</v>
      </c>
      <c r="AM6" s="76">
        <v>65210</v>
      </c>
      <c r="AN6" s="76">
        <v>76909</v>
      </c>
      <c r="AP6" s="74">
        <f>K6/AJ6-1</f>
        <v>6.6508961877900008E-2</v>
      </c>
      <c r="AQ6" s="74">
        <f>M6/AK6-1</f>
        <v>7.1965346372198313E-2</v>
      </c>
      <c r="AR6" s="74">
        <f>P6/AL6-1</f>
        <v>7.1965346372198313E-2</v>
      </c>
      <c r="AS6" s="74">
        <f>S6/AM6-1</f>
        <v>7.8132188314675721E-2</v>
      </c>
      <c r="AT6" s="74">
        <f>V6/AN6-1</f>
        <v>0.1198299288769844</v>
      </c>
    </row>
    <row r="7" spans="1:46" x14ac:dyDescent="0.25">
      <c r="A7" s="28"/>
      <c r="B7" s="27"/>
      <c r="C7" s="28"/>
      <c r="D7" s="9" t="s">
        <v>70</v>
      </c>
      <c r="E7" s="29"/>
      <c r="F7" s="30"/>
      <c r="G7" s="29"/>
      <c r="H7" s="31"/>
      <c r="I7" s="29"/>
      <c r="J7" s="31"/>
      <c r="K7" s="5"/>
      <c r="L7" s="3"/>
      <c r="M7" s="5"/>
      <c r="N7" s="5"/>
      <c r="O7" s="5"/>
      <c r="P7" s="3"/>
      <c r="Q7" s="56"/>
      <c r="R7" s="56"/>
      <c r="S7" s="5"/>
      <c r="T7" s="5"/>
      <c r="U7" s="5"/>
      <c r="V7" s="5"/>
      <c r="W7" s="42"/>
      <c r="Y7" s="101"/>
      <c r="Z7" s="20"/>
      <c r="AA7" s="63"/>
      <c r="AB7" s="63"/>
      <c r="AC7" s="63"/>
      <c r="AD7" s="66"/>
      <c r="AE7" s="5"/>
      <c r="AF7" s="5"/>
      <c r="AG7" s="9" t="s">
        <v>70</v>
      </c>
      <c r="AH7" s="18"/>
      <c r="AJ7" s="5"/>
      <c r="AK7" s="20"/>
      <c r="AL7" s="20"/>
      <c r="AM7" s="20"/>
      <c r="AN7" s="20"/>
      <c r="AP7" s="75"/>
      <c r="AQ7" s="75"/>
      <c r="AR7" s="75"/>
      <c r="AS7" s="75"/>
      <c r="AT7" s="75"/>
    </row>
    <row r="8" spans="1:46" ht="18.75" x14ac:dyDescent="0.3">
      <c r="A8" s="95"/>
      <c r="B8" s="32">
        <v>9207921100</v>
      </c>
      <c r="C8" s="32">
        <v>9207931100</v>
      </c>
      <c r="D8" s="33" t="s">
        <v>89</v>
      </c>
      <c r="E8" s="21" t="s">
        <v>9</v>
      </c>
      <c r="F8" s="34" t="s">
        <v>69</v>
      </c>
      <c r="G8" s="96">
        <v>12000</v>
      </c>
      <c r="H8" s="97" t="s">
        <v>28</v>
      </c>
      <c r="I8" s="96">
        <v>13648</v>
      </c>
      <c r="J8" s="102" t="s">
        <v>32</v>
      </c>
      <c r="K8" s="132">
        <f>AA8</f>
        <v>56553</v>
      </c>
      <c r="L8" s="131">
        <v>5000</v>
      </c>
      <c r="M8" s="58">
        <f>P8</f>
        <v>51553</v>
      </c>
      <c r="N8" s="78">
        <f>P8-(O8*2)</f>
        <v>17185</v>
      </c>
      <c r="O8" s="78">
        <f t="shared" ref="O8" si="4">ROUND(P8/3,0)</f>
        <v>17184</v>
      </c>
      <c r="P8" s="79">
        <f>AA8-X8</f>
        <v>51553</v>
      </c>
      <c r="Q8" s="78">
        <f t="shared" ref="Q8" si="5">S8-(R8*4)</f>
        <v>11111</v>
      </c>
      <c r="R8" s="78">
        <f t="shared" ref="R8" si="6">ROUND(S8/5,0)</f>
        <v>11111</v>
      </c>
      <c r="S8" s="79">
        <f t="shared" ref="S8" si="7">AB8-X8</f>
        <v>55555</v>
      </c>
      <c r="T8" s="80">
        <f>V8-(U8*8)</f>
        <v>7590</v>
      </c>
      <c r="U8" s="80">
        <f>ROUND(V8/9,0)</f>
        <v>7586</v>
      </c>
      <c r="V8" s="81">
        <f>AC8-X8</f>
        <v>68278</v>
      </c>
      <c r="W8" s="133" t="s">
        <v>123</v>
      </c>
      <c r="X8" s="11">
        <v>5000</v>
      </c>
      <c r="Y8" s="99">
        <f>M8/M22*100</f>
        <v>136.5533864858422</v>
      </c>
      <c r="Z8" s="83">
        <f>AA8</f>
        <v>56553</v>
      </c>
      <c r="AA8" s="100">
        <v>56553</v>
      </c>
      <c r="AB8" s="100">
        <v>60555</v>
      </c>
      <c r="AC8" s="100">
        <v>73278</v>
      </c>
      <c r="AD8" s="66"/>
      <c r="AE8" s="32">
        <v>9207921200</v>
      </c>
      <c r="AF8" s="32">
        <v>9207931200</v>
      </c>
      <c r="AG8" s="33" t="s">
        <v>90</v>
      </c>
      <c r="AH8" s="18"/>
      <c r="AJ8" s="98">
        <v>53028</v>
      </c>
      <c r="AK8" s="58">
        <v>48028</v>
      </c>
      <c r="AL8" s="117">
        <v>48028</v>
      </c>
      <c r="AM8" s="76">
        <v>51455</v>
      </c>
      <c r="AN8" s="76">
        <v>60862</v>
      </c>
      <c r="AP8" s="74">
        <f>K8/AJ8-1</f>
        <v>6.6474315455985478E-2</v>
      </c>
      <c r="AQ8" s="74">
        <f>M8/AK8-1</f>
        <v>7.3394686432914025E-2</v>
      </c>
      <c r="AR8" s="74">
        <f>P8/AL8-1</f>
        <v>7.3394686432914025E-2</v>
      </c>
      <c r="AS8" s="74">
        <f>S8/AM8-1</f>
        <v>7.9681274900398336E-2</v>
      </c>
      <c r="AT8" s="74">
        <f>V8/AN8-1</f>
        <v>0.12184942985771086</v>
      </c>
    </row>
    <row r="9" spans="1:46" x14ac:dyDescent="0.25">
      <c r="A9" s="28"/>
      <c r="B9" s="28"/>
      <c r="C9" s="28"/>
      <c r="D9" s="9" t="s">
        <v>106</v>
      </c>
      <c r="E9" s="29"/>
      <c r="F9" s="30"/>
      <c r="G9" s="29"/>
      <c r="H9" s="31"/>
      <c r="I9" s="29"/>
      <c r="J9" s="31"/>
      <c r="K9" s="5"/>
      <c r="L9" s="5"/>
      <c r="M9" s="5"/>
      <c r="N9" s="5"/>
      <c r="O9" s="5"/>
      <c r="P9" s="5"/>
      <c r="Q9" s="56"/>
      <c r="R9" s="56"/>
      <c r="S9" s="5"/>
      <c r="T9" s="5"/>
      <c r="U9" s="5"/>
      <c r="V9" s="5"/>
      <c r="W9" s="42"/>
      <c r="Z9" s="20"/>
      <c r="AA9" s="63"/>
      <c r="AB9" s="63"/>
      <c r="AC9" s="63"/>
      <c r="AE9" s="2"/>
      <c r="AF9" s="2"/>
      <c r="AG9" s="9" t="s">
        <v>50</v>
      </c>
      <c r="AH9" s="18"/>
      <c r="AJ9" s="5"/>
      <c r="AK9" s="20"/>
      <c r="AL9" s="20"/>
      <c r="AM9" s="20"/>
      <c r="AN9" s="20"/>
      <c r="AP9" s="75"/>
      <c r="AQ9" s="75"/>
      <c r="AR9" s="75"/>
      <c r="AS9" s="75"/>
      <c r="AT9" s="75"/>
    </row>
    <row r="10" spans="1:46" ht="18.75" x14ac:dyDescent="0.3">
      <c r="B10" s="32">
        <v>9212761100</v>
      </c>
      <c r="C10" s="32">
        <v>9212751100</v>
      </c>
      <c r="D10" s="103" t="s">
        <v>108</v>
      </c>
      <c r="E10" s="104" t="s">
        <v>9</v>
      </c>
      <c r="F10" s="49" t="s">
        <v>11</v>
      </c>
      <c r="G10" s="96">
        <v>9000</v>
      </c>
      <c r="H10" s="97" t="s">
        <v>27</v>
      </c>
      <c r="I10" s="96">
        <v>11260</v>
      </c>
      <c r="J10" s="102" t="s">
        <v>31</v>
      </c>
      <c r="K10" s="58">
        <f>Z10</f>
        <v>51357</v>
      </c>
      <c r="L10" s="59"/>
      <c r="M10" s="58">
        <f>P10</f>
        <v>51357</v>
      </c>
      <c r="N10" s="78">
        <f>P10-(O10*2)</f>
        <v>17119</v>
      </c>
      <c r="O10" s="78">
        <f t="shared" ref="O10:O13" si="8">ROUND(P10/3,0)</f>
        <v>17119</v>
      </c>
      <c r="P10" s="79">
        <f>AA10-X10</f>
        <v>51357</v>
      </c>
      <c r="Q10" s="78">
        <f t="shared" ref="Q10:Q13" si="9">S10-(R10*4)</f>
        <v>10998</v>
      </c>
      <c r="R10" s="78">
        <f t="shared" ref="R10:R13" si="10">ROUND(S10/5,0)</f>
        <v>10998</v>
      </c>
      <c r="S10" s="79">
        <f t="shared" ref="S10:S13" si="11">AB10-X10</f>
        <v>54990</v>
      </c>
      <c r="T10" s="80">
        <f>V10-(U10*8)</f>
        <v>7394</v>
      </c>
      <c r="U10" s="80">
        <f>ROUND(V10/9,0)</f>
        <v>7394</v>
      </c>
      <c r="V10" s="81">
        <f>AC10-X10</f>
        <v>66546</v>
      </c>
      <c r="W10" s="72"/>
      <c r="Y10" s="99">
        <f>M10/M21*100</f>
        <v>147.66244968372629</v>
      </c>
      <c r="Z10" s="83">
        <f>AA10</f>
        <v>51357</v>
      </c>
      <c r="AA10" s="100">
        <v>51357</v>
      </c>
      <c r="AB10" s="100">
        <v>54990</v>
      </c>
      <c r="AC10" s="100">
        <v>66546</v>
      </c>
      <c r="AD10" s="66"/>
      <c r="AE10" s="38">
        <v>9200311200</v>
      </c>
      <c r="AF10" s="38">
        <v>9200301200</v>
      </c>
      <c r="AG10" s="103" t="s">
        <v>56</v>
      </c>
      <c r="AH10" s="18"/>
      <c r="AJ10" s="58">
        <v>48153</v>
      </c>
      <c r="AK10" s="58">
        <v>48153</v>
      </c>
      <c r="AL10" s="117">
        <v>48153</v>
      </c>
      <c r="AM10" s="76">
        <v>51265</v>
      </c>
      <c r="AN10" s="76">
        <v>59814</v>
      </c>
      <c r="AP10" s="74">
        <f t="shared" ref="AP10:AP13" si="12">K10/AJ10-1</f>
        <v>6.6537910410566337E-2</v>
      </c>
      <c r="AQ10" s="74">
        <f t="shared" ref="AQ10:AQ13" si="13">M10/AK10-1</f>
        <v>6.6537910410566337E-2</v>
      </c>
      <c r="AR10" s="74">
        <f t="shared" ref="AR10:AR13" si="14">P10/AL10-1</f>
        <v>6.6537910410566337E-2</v>
      </c>
      <c r="AS10" s="74">
        <f t="shared" ref="AS10:AS13" si="15">S10/AM10-1</f>
        <v>7.2661660001950734E-2</v>
      </c>
      <c r="AT10" s="74">
        <f t="shared" ref="AT10:AT13" si="16">V10/AN10-1</f>
        <v>0.11254890159494435</v>
      </c>
    </row>
    <row r="11" spans="1:46" ht="18.75" x14ac:dyDescent="0.3">
      <c r="B11" s="32">
        <v>9212781100</v>
      </c>
      <c r="C11" s="32">
        <v>9212771100</v>
      </c>
      <c r="D11" s="103" t="s">
        <v>109</v>
      </c>
      <c r="E11" s="104" t="s">
        <v>9</v>
      </c>
      <c r="F11" s="49" t="s">
        <v>11</v>
      </c>
      <c r="G11" s="96">
        <v>12000</v>
      </c>
      <c r="H11" s="97" t="s">
        <v>28</v>
      </c>
      <c r="I11" s="96">
        <v>13648</v>
      </c>
      <c r="J11" s="102" t="s">
        <v>32</v>
      </c>
      <c r="K11" s="58">
        <f>Z11</f>
        <v>56187</v>
      </c>
      <c r="L11" s="59"/>
      <c r="M11" s="58">
        <f t="shared" ref="M11:M13" si="17">P11</f>
        <v>56187</v>
      </c>
      <c r="N11" s="78">
        <f t="shared" ref="N11:N13" si="18">P11-(O11*2)</f>
        <v>18729</v>
      </c>
      <c r="O11" s="78">
        <f t="shared" si="8"/>
        <v>18729</v>
      </c>
      <c r="P11" s="79">
        <f t="shared" ref="P11:P13" si="19">AA11-X11</f>
        <v>56187</v>
      </c>
      <c r="Q11" s="78">
        <f t="shared" si="9"/>
        <v>12032</v>
      </c>
      <c r="R11" s="78">
        <f t="shared" si="10"/>
        <v>12032</v>
      </c>
      <c r="S11" s="79">
        <f t="shared" si="11"/>
        <v>60160</v>
      </c>
      <c r="T11" s="80">
        <f t="shared" ref="T11:T13" si="20">V11-(U11*8)</f>
        <v>8089</v>
      </c>
      <c r="U11" s="80">
        <f t="shared" ref="U11:U13" si="21">ROUND(V11/9,0)</f>
        <v>8089</v>
      </c>
      <c r="V11" s="81">
        <f t="shared" ref="V11:V13" si="22">AC11-X11</f>
        <v>72801</v>
      </c>
      <c r="W11" s="72"/>
      <c r="Y11" s="99">
        <f>M11/M22*100</f>
        <v>148.8279077159431</v>
      </c>
      <c r="Z11" s="83">
        <f>AA11</f>
        <v>56187</v>
      </c>
      <c r="AA11" s="100">
        <v>56187</v>
      </c>
      <c r="AB11" s="100">
        <v>60160</v>
      </c>
      <c r="AC11" s="100">
        <v>72801</v>
      </c>
      <c r="AD11" s="66"/>
      <c r="AE11" s="38">
        <v>9200331200</v>
      </c>
      <c r="AF11" s="38">
        <v>9200321200</v>
      </c>
      <c r="AG11" s="103" t="s">
        <v>57</v>
      </c>
      <c r="AH11" s="18"/>
      <c r="AJ11" s="58">
        <v>52683</v>
      </c>
      <c r="AK11" s="58">
        <v>52683</v>
      </c>
      <c r="AL11" s="117">
        <v>52683</v>
      </c>
      <c r="AM11" s="76">
        <v>56090</v>
      </c>
      <c r="AN11" s="76">
        <v>65439</v>
      </c>
      <c r="AP11" s="74">
        <f t="shared" si="12"/>
        <v>6.6511018734696226E-2</v>
      </c>
      <c r="AQ11" s="74">
        <f t="shared" si="13"/>
        <v>6.6511018734696226E-2</v>
      </c>
      <c r="AR11" s="74">
        <f t="shared" si="14"/>
        <v>6.6511018734696226E-2</v>
      </c>
      <c r="AS11" s="74">
        <f t="shared" si="15"/>
        <v>7.2561954002495987E-2</v>
      </c>
      <c r="AT11" s="74">
        <f t="shared" si="16"/>
        <v>0.11250171915830021</v>
      </c>
    </row>
    <row r="12" spans="1:46" ht="18.75" x14ac:dyDescent="0.3">
      <c r="B12" s="32">
        <v>9212801100</v>
      </c>
      <c r="C12" s="32">
        <v>9212791100</v>
      </c>
      <c r="D12" s="103" t="s">
        <v>110</v>
      </c>
      <c r="E12" s="104" t="s">
        <v>9</v>
      </c>
      <c r="F12" s="49" t="s">
        <v>11</v>
      </c>
      <c r="G12" s="96">
        <v>18000</v>
      </c>
      <c r="H12" s="97" t="s">
        <v>29</v>
      </c>
      <c r="I12" s="96">
        <v>19790</v>
      </c>
      <c r="J12" s="102" t="s">
        <v>33</v>
      </c>
      <c r="K12" s="58">
        <f>Z12</f>
        <v>75483</v>
      </c>
      <c r="L12" s="59"/>
      <c r="M12" s="58">
        <f t="shared" si="17"/>
        <v>75483</v>
      </c>
      <c r="N12" s="78">
        <f t="shared" si="18"/>
        <v>25161</v>
      </c>
      <c r="O12" s="78">
        <f t="shared" si="8"/>
        <v>25161</v>
      </c>
      <c r="P12" s="79">
        <f t="shared" si="19"/>
        <v>75483</v>
      </c>
      <c r="Q12" s="78">
        <f t="shared" si="9"/>
        <v>16165</v>
      </c>
      <c r="R12" s="78">
        <f t="shared" si="10"/>
        <v>16165</v>
      </c>
      <c r="S12" s="79">
        <f t="shared" si="11"/>
        <v>80825</v>
      </c>
      <c r="T12" s="80">
        <f t="shared" si="20"/>
        <v>10868</v>
      </c>
      <c r="U12" s="80">
        <f t="shared" si="21"/>
        <v>10868</v>
      </c>
      <c r="V12" s="81">
        <f t="shared" si="22"/>
        <v>97812</v>
      </c>
      <c r="W12" s="72"/>
      <c r="Y12" s="99">
        <f>M12/M25*100</f>
        <v>142.14183489002713</v>
      </c>
      <c r="Z12" s="83">
        <f t="shared" ref="Z12:Z13" si="23">AA12</f>
        <v>75483</v>
      </c>
      <c r="AA12" s="100">
        <v>75483</v>
      </c>
      <c r="AB12" s="100">
        <v>80825</v>
      </c>
      <c r="AC12" s="100">
        <v>97812</v>
      </c>
      <c r="AD12" s="66"/>
      <c r="AE12" s="43">
        <v>9200351200</v>
      </c>
      <c r="AF12" s="43">
        <v>9200341200</v>
      </c>
      <c r="AG12" s="105" t="s">
        <v>58</v>
      </c>
      <c r="AH12" s="18"/>
      <c r="AJ12" s="58">
        <v>70776</v>
      </c>
      <c r="AK12" s="58">
        <v>70776</v>
      </c>
      <c r="AL12" s="117">
        <v>70776</v>
      </c>
      <c r="AM12" s="76">
        <v>75350</v>
      </c>
      <c r="AN12" s="76">
        <v>87912</v>
      </c>
      <c r="AP12" s="74">
        <f t="shared" si="12"/>
        <v>6.6505595116988836E-2</v>
      </c>
      <c r="AQ12" s="74">
        <f t="shared" si="13"/>
        <v>6.6505595116988836E-2</v>
      </c>
      <c r="AR12" s="74">
        <f t="shared" si="14"/>
        <v>6.6505595116988836E-2</v>
      </c>
      <c r="AS12" s="74">
        <f t="shared" si="15"/>
        <v>7.2660915726609154E-2</v>
      </c>
      <c r="AT12" s="74">
        <f t="shared" si="16"/>
        <v>0.11261261261261257</v>
      </c>
    </row>
    <row r="13" spans="1:46" ht="18.75" x14ac:dyDescent="0.3">
      <c r="B13" s="32">
        <v>9212821100</v>
      </c>
      <c r="C13" s="32">
        <v>9212811100</v>
      </c>
      <c r="D13" s="103" t="s">
        <v>111</v>
      </c>
      <c r="E13" s="104" t="s">
        <v>9</v>
      </c>
      <c r="F13" s="49" t="s">
        <v>11</v>
      </c>
      <c r="G13" s="96">
        <v>24000</v>
      </c>
      <c r="H13" s="97" t="s">
        <v>30</v>
      </c>
      <c r="I13" s="96">
        <v>25590</v>
      </c>
      <c r="J13" s="102" t="s">
        <v>34</v>
      </c>
      <c r="K13" s="58">
        <f>Z13</f>
        <v>91512</v>
      </c>
      <c r="L13" s="59"/>
      <c r="M13" s="58">
        <f t="shared" si="17"/>
        <v>91512</v>
      </c>
      <c r="N13" s="78">
        <f t="shared" si="18"/>
        <v>30504</v>
      </c>
      <c r="O13" s="78">
        <f t="shared" si="8"/>
        <v>30504</v>
      </c>
      <c r="P13" s="79">
        <f t="shared" si="19"/>
        <v>91512</v>
      </c>
      <c r="Q13" s="78">
        <f t="shared" si="9"/>
        <v>19598</v>
      </c>
      <c r="R13" s="78">
        <f t="shared" si="10"/>
        <v>19598</v>
      </c>
      <c r="S13" s="79">
        <f t="shared" si="11"/>
        <v>97990</v>
      </c>
      <c r="T13" s="80">
        <f t="shared" si="20"/>
        <v>13175</v>
      </c>
      <c r="U13" s="80">
        <f t="shared" si="21"/>
        <v>13175</v>
      </c>
      <c r="V13" s="81">
        <f t="shared" si="22"/>
        <v>118575</v>
      </c>
      <c r="W13" s="72"/>
      <c r="Y13" s="99">
        <f>M13/M27*100</f>
        <v>144.10203920951105</v>
      </c>
      <c r="Z13" s="83">
        <f t="shared" si="23"/>
        <v>91512</v>
      </c>
      <c r="AA13" s="100">
        <v>91512</v>
      </c>
      <c r="AB13" s="100">
        <v>97990</v>
      </c>
      <c r="AC13" s="100">
        <v>118575</v>
      </c>
      <c r="AD13" s="66"/>
      <c r="AE13" s="44">
        <v>9200371200</v>
      </c>
      <c r="AF13" s="44">
        <v>9200361200</v>
      </c>
      <c r="AG13" s="106" t="s">
        <v>59</v>
      </c>
      <c r="AH13" s="18"/>
      <c r="AJ13" s="58">
        <v>85809</v>
      </c>
      <c r="AK13" s="58">
        <v>85809</v>
      </c>
      <c r="AL13" s="117">
        <v>85809</v>
      </c>
      <c r="AM13" s="76">
        <v>91355</v>
      </c>
      <c r="AN13" s="76">
        <v>106578</v>
      </c>
      <c r="AP13" s="74">
        <f t="shared" si="12"/>
        <v>6.6461559976226381E-2</v>
      </c>
      <c r="AQ13" s="74">
        <f t="shared" si="13"/>
        <v>6.6461559976226381E-2</v>
      </c>
      <c r="AR13" s="74">
        <f t="shared" si="14"/>
        <v>6.6461559976226381E-2</v>
      </c>
      <c r="AS13" s="74">
        <f t="shared" si="15"/>
        <v>7.2628755952055091E-2</v>
      </c>
      <c r="AT13" s="74">
        <f t="shared" si="16"/>
        <v>0.11256544502617793</v>
      </c>
    </row>
    <row r="14" spans="1:46" x14ac:dyDescent="0.25">
      <c r="A14" s="28"/>
      <c r="B14" s="28"/>
      <c r="C14" s="28"/>
      <c r="D14" s="9" t="s">
        <v>107</v>
      </c>
      <c r="E14" s="29"/>
      <c r="F14" s="30"/>
      <c r="G14" s="29"/>
      <c r="H14" s="31"/>
      <c r="I14" s="29"/>
      <c r="J14" s="31"/>
      <c r="K14" s="31"/>
      <c r="L14" s="31"/>
      <c r="M14" s="31"/>
      <c r="N14" s="31"/>
      <c r="O14" s="31"/>
      <c r="P14" s="31"/>
      <c r="Q14" s="57"/>
      <c r="R14" s="57"/>
      <c r="S14" s="31"/>
      <c r="T14" s="5"/>
      <c r="U14" s="5"/>
      <c r="V14" s="5"/>
      <c r="W14" s="42"/>
      <c r="Z14" s="20"/>
      <c r="AA14" s="63"/>
      <c r="AB14" s="63"/>
      <c r="AC14" s="63"/>
      <c r="AE14" s="2"/>
      <c r="AF14" s="2"/>
      <c r="AG14" s="9" t="s">
        <v>51</v>
      </c>
      <c r="AH14" s="18"/>
      <c r="AJ14" s="31"/>
      <c r="AK14" s="57"/>
      <c r="AL14" s="57"/>
      <c r="AM14" s="20"/>
      <c r="AN14" s="20"/>
      <c r="AP14" s="75"/>
      <c r="AQ14" s="75"/>
      <c r="AR14" s="75"/>
      <c r="AS14" s="75"/>
      <c r="AT14" s="75"/>
    </row>
    <row r="15" spans="1:46" ht="18.75" x14ac:dyDescent="0.3">
      <c r="B15" s="32">
        <v>9212841100</v>
      </c>
      <c r="C15" s="32">
        <v>9212831100</v>
      </c>
      <c r="D15" s="103" t="s">
        <v>112</v>
      </c>
      <c r="E15" s="104" t="s">
        <v>9</v>
      </c>
      <c r="F15" s="49" t="s">
        <v>11</v>
      </c>
      <c r="G15" s="96">
        <v>9000</v>
      </c>
      <c r="H15" s="97" t="s">
        <v>27</v>
      </c>
      <c r="I15" s="96">
        <v>11260</v>
      </c>
      <c r="J15" s="102" t="s">
        <v>31</v>
      </c>
      <c r="K15" s="58">
        <f>Z15</f>
        <v>45681</v>
      </c>
      <c r="L15" s="59"/>
      <c r="M15" s="58">
        <f>P15</f>
        <v>45681</v>
      </c>
      <c r="N15" s="78">
        <f>P15-(O15*2)</f>
        <v>15227</v>
      </c>
      <c r="O15" s="78">
        <f t="shared" ref="O15:O18" si="24">ROUND(P15/3,0)</f>
        <v>15227</v>
      </c>
      <c r="P15" s="79">
        <f>AA15-X15</f>
        <v>45681</v>
      </c>
      <c r="Q15" s="78">
        <f t="shared" ref="Q15:Q18" si="25">S15-(R15*4)</f>
        <v>9788</v>
      </c>
      <c r="R15" s="78">
        <f t="shared" ref="R15:R18" si="26">ROUND(S15/5,0)</f>
        <v>9788</v>
      </c>
      <c r="S15" s="79">
        <f t="shared" ref="S15:S18" si="27">AB15-X15</f>
        <v>48940</v>
      </c>
      <c r="T15" s="80">
        <f>V15-(U15*8)</f>
        <v>6586</v>
      </c>
      <c r="U15" s="80">
        <f>ROUND(V15/9,0)</f>
        <v>6586</v>
      </c>
      <c r="V15" s="81">
        <f>AC15-X15</f>
        <v>59274</v>
      </c>
      <c r="W15" s="42"/>
      <c r="Y15" s="99">
        <f>M15/M21*100</f>
        <v>131.34272570442783</v>
      </c>
      <c r="Z15" s="83">
        <f t="shared" ref="Z15:Z18" si="28">AA15</f>
        <v>45681</v>
      </c>
      <c r="AA15" s="100">
        <v>45681</v>
      </c>
      <c r="AB15" s="100">
        <v>48940</v>
      </c>
      <c r="AC15" s="100">
        <v>59274</v>
      </c>
      <c r="AD15" s="66"/>
      <c r="AE15" s="38">
        <v>8896341200</v>
      </c>
      <c r="AF15" s="38">
        <v>8896331200</v>
      </c>
      <c r="AG15" s="103" t="s">
        <v>60</v>
      </c>
      <c r="AH15" s="18"/>
      <c r="AJ15" s="58">
        <v>42807</v>
      </c>
      <c r="AK15" s="58">
        <v>42807</v>
      </c>
      <c r="AL15" s="117">
        <v>42807</v>
      </c>
      <c r="AM15" s="76">
        <v>45595</v>
      </c>
      <c r="AN15" s="76">
        <v>53226</v>
      </c>
      <c r="AP15" s="74">
        <f t="shared" ref="AP15:AP18" si="29">K15/AJ15-1</f>
        <v>6.7138552105963978E-2</v>
      </c>
      <c r="AQ15" s="74">
        <f t="shared" ref="AQ15:AQ18" si="30">M15/AK15-1</f>
        <v>6.7138552105963978E-2</v>
      </c>
      <c r="AR15" s="74">
        <f t="shared" ref="AR15:AR18" si="31">P15/AL15-1</f>
        <v>6.7138552105963978E-2</v>
      </c>
      <c r="AS15" s="74">
        <f t="shared" ref="AS15:AS18" si="32">S15/AM15-1</f>
        <v>7.3363307380195142E-2</v>
      </c>
      <c r="AT15" s="74">
        <f t="shared" ref="AT15:AT18" si="33">V15/AN15-1</f>
        <v>0.11362867771389928</v>
      </c>
    </row>
    <row r="16" spans="1:46" ht="18.75" x14ac:dyDescent="0.3">
      <c r="B16" s="32">
        <v>9212861100</v>
      </c>
      <c r="C16" s="32">
        <v>9212851100</v>
      </c>
      <c r="D16" s="103" t="s">
        <v>113</v>
      </c>
      <c r="E16" s="104" t="s">
        <v>9</v>
      </c>
      <c r="F16" s="49" t="s">
        <v>11</v>
      </c>
      <c r="G16" s="96">
        <v>12000</v>
      </c>
      <c r="H16" s="97" t="s">
        <v>28</v>
      </c>
      <c r="I16" s="96">
        <v>13648</v>
      </c>
      <c r="J16" s="102" t="s">
        <v>32</v>
      </c>
      <c r="K16" s="58">
        <f>Z16</f>
        <v>48891</v>
      </c>
      <c r="L16" s="59"/>
      <c r="M16" s="58">
        <f t="shared" ref="M16:M18" si="34">P16</f>
        <v>48891</v>
      </c>
      <c r="N16" s="78">
        <f t="shared" ref="N16:N18" si="35">P16-(O16*2)</f>
        <v>16297</v>
      </c>
      <c r="O16" s="78">
        <f t="shared" si="24"/>
        <v>16297</v>
      </c>
      <c r="P16" s="79">
        <f t="shared" ref="P16:P18" si="36">AA16-X16</f>
        <v>48891</v>
      </c>
      <c r="Q16" s="78">
        <f t="shared" si="25"/>
        <v>10476</v>
      </c>
      <c r="R16" s="78">
        <f t="shared" si="26"/>
        <v>10476</v>
      </c>
      <c r="S16" s="79">
        <f t="shared" si="27"/>
        <v>52380</v>
      </c>
      <c r="T16" s="80">
        <f t="shared" ref="T16:T18" si="37">V16-(U16*8)</f>
        <v>7049</v>
      </c>
      <c r="U16" s="80">
        <f t="shared" ref="U16:U18" si="38">ROUND(V16/9,0)</f>
        <v>7049</v>
      </c>
      <c r="V16" s="81">
        <f t="shared" ref="V16:V18" si="39">AC16-X16</f>
        <v>63441</v>
      </c>
      <c r="W16" s="42"/>
      <c r="Y16" s="99">
        <f>M16/M22*100</f>
        <v>129.50229120864566</v>
      </c>
      <c r="Z16" s="83">
        <f t="shared" si="28"/>
        <v>48891</v>
      </c>
      <c r="AA16" s="100">
        <v>48891</v>
      </c>
      <c r="AB16" s="100">
        <v>52380</v>
      </c>
      <c r="AC16" s="100">
        <v>63441</v>
      </c>
      <c r="AD16" s="66"/>
      <c r="AE16" s="38">
        <v>8896361200</v>
      </c>
      <c r="AF16" s="38">
        <v>8896351200</v>
      </c>
      <c r="AG16" s="103" t="s">
        <v>61</v>
      </c>
      <c r="AH16" s="18"/>
      <c r="AJ16" s="58">
        <v>45819</v>
      </c>
      <c r="AK16" s="58">
        <v>45819</v>
      </c>
      <c r="AL16" s="117">
        <v>45819</v>
      </c>
      <c r="AM16" s="76">
        <v>48800</v>
      </c>
      <c r="AN16" s="76">
        <v>56961</v>
      </c>
      <c r="AP16" s="74">
        <f t="shared" si="29"/>
        <v>6.7046421790087019E-2</v>
      </c>
      <c r="AQ16" s="74">
        <f t="shared" si="30"/>
        <v>6.7046421790087019E-2</v>
      </c>
      <c r="AR16" s="74">
        <f t="shared" si="31"/>
        <v>6.7046421790087019E-2</v>
      </c>
      <c r="AS16" s="74">
        <f t="shared" si="32"/>
        <v>7.3360655737704894E-2</v>
      </c>
      <c r="AT16" s="74">
        <f t="shared" si="33"/>
        <v>0.11376204771685883</v>
      </c>
    </row>
    <row r="17" spans="1:46" ht="18.75" x14ac:dyDescent="0.3">
      <c r="B17" s="32">
        <v>9212881100</v>
      </c>
      <c r="C17" s="32">
        <v>9212871100</v>
      </c>
      <c r="D17" s="103" t="s">
        <v>114</v>
      </c>
      <c r="E17" s="104" t="s">
        <v>9</v>
      </c>
      <c r="F17" s="49" t="s">
        <v>11</v>
      </c>
      <c r="G17" s="96">
        <v>18000</v>
      </c>
      <c r="H17" s="97" t="s">
        <v>29</v>
      </c>
      <c r="I17" s="96">
        <v>19790</v>
      </c>
      <c r="J17" s="102" t="s">
        <v>33</v>
      </c>
      <c r="K17" s="58">
        <f>Z17</f>
        <v>67464</v>
      </c>
      <c r="L17" s="59"/>
      <c r="M17" s="58">
        <f t="shared" si="34"/>
        <v>67464</v>
      </c>
      <c r="N17" s="78">
        <f t="shared" si="35"/>
        <v>22488</v>
      </c>
      <c r="O17" s="78">
        <f t="shared" si="24"/>
        <v>22488</v>
      </c>
      <c r="P17" s="79">
        <f t="shared" si="36"/>
        <v>67464</v>
      </c>
      <c r="Q17" s="78">
        <f t="shared" si="25"/>
        <v>14455</v>
      </c>
      <c r="R17" s="78">
        <f t="shared" si="26"/>
        <v>14455</v>
      </c>
      <c r="S17" s="79">
        <f t="shared" si="27"/>
        <v>72275</v>
      </c>
      <c r="T17" s="80">
        <f t="shared" si="37"/>
        <v>9727</v>
      </c>
      <c r="U17" s="80">
        <f t="shared" si="38"/>
        <v>9727</v>
      </c>
      <c r="V17" s="81">
        <f t="shared" si="39"/>
        <v>87543</v>
      </c>
      <c r="W17" s="42"/>
      <c r="Y17" s="99">
        <f>M17/M25*100</f>
        <v>127.04127749322085</v>
      </c>
      <c r="Z17" s="83">
        <f t="shared" si="28"/>
        <v>67464</v>
      </c>
      <c r="AA17" s="100">
        <v>67464</v>
      </c>
      <c r="AB17" s="100">
        <v>72275</v>
      </c>
      <c r="AC17" s="100">
        <v>87543</v>
      </c>
      <c r="AD17" s="66"/>
      <c r="AE17" s="43">
        <v>8896381200</v>
      </c>
      <c r="AF17" s="43">
        <v>8896371200</v>
      </c>
      <c r="AG17" s="103" t="s">
        <v>62</v>
      </c>
      <c r="AH17" s="18"/>
      <c r="AJ17" s="58">
        <v>63222</v>
      </c>
      <c r="AK17" s="58">
        <v>63222</v>
      </c>
      <c r="AL17" s="117">
        <v>63222</v>
      </c>
      <c r="AM17" s="76">
        <v>67335</v>
      </c>
      <c r="AN17" s="76">
        <v>78606</v>
      </c>
      <c r="AP17" s="74">
        <f t="shared" si="29"/>
        <v>6.7096896649900373E-2</v>
      </c>
      <c r="AQ17" s="74">
        <f t="shared" si="30"/>
        <v>6.7096896649900373E-2</v>
      </c>
      <c r="AR17" s="74">
        <f t="shared" si="31"/>
        <v>6.7096896649900373E-2</v>
      </c>
      <c r="AS17" s="74">
        <f t="shared" si="32"/>
        <v>7.3364520680181178E-2</v>
      </c>
      <c r="AT17" s="74">
        <f t="shared" si="33"/>
        <v>0.11369361117471954</v>
      </c>
    </row>
    <row r="18" spans="1:46" ht="18.75" x14ac:dyDescent="0.3">
      <c r="B18" s="32">
        <v>9212901100</v>
      </c>
      <c r="C18" s="32">
        <v>9212891100</v>
      </c>
      <c r="D18" s="103" t="s">
        <v>115</v>
      </c>
      <c r="E18" s="104" t="s">
        <v>9</v>
      </c>
      <c r="F18" s="49" t="s">
        <v>11</v>
      </c>
      <c r="G18" s="96">
        <v>24000</v>
      </c>
      <c r="H18" s="97" t="s">
        <v>30</v>
      </c>
      <c r="I18" s="96">
        <v>25590</v>
      </c>
      <c r="J18" s="102" t="s">
        <v>34</v>
      </c>
      <c r="K18" s="58">
        <f>Z18</f>
        <v>79566</v>
      </c>
      <c r="L18" s="59"/>
      <c r="M18" s="58">
        <f t="shared" si="34"/>
        <v>79566</v>
      </c>
      <c r="N18" s="78">
        <f t="shared" si="35"/>
        <v>26522</v>
      </c>
      <c r="O18" s="78">
        <f t="shared" si="24"/>
        <v>26522</v>
      </c>
      <c r="P18" s="79">
        <f t="shared" si="36"/>
        <v>79566</v>
      </c>
      <c r="Q18" s="78">
        <f t="shared" si="25"/>
        <v>17048</v>
      </c>
      <c r="R18" s="78">
        <f t="shared" si="26"/>
        <v>17048</v>
      </c>
      <c r="S18" s="79">
        <f t="shared" si="27"/>
        <v>85240</v>
      </c>
      <c r="T18" s="80">
        <f t="shared" si="37"/>
        <v>11472</v>
      </c>
      <c r="U18" s="80">
        <f t="shared" si="38"/>
        <v>11472</v>
      </c>
      <c r="V18" s="81">
        <f t="shared" si="39"/>
        <v>103248</v>
      </c>
      <c r="W18" s="42"/>
      <c r="Y18" s="99">
        <f>M18/M27*100</f>
        <v>125.29092197464766</v>
      </c>
      <c r="Z18" s="83">
        <f t="shared" si="28"/>
        <v>79566</v>
      </c>
      <c r="AA18" s="100">
        <v>79566</v>
      </c>
      <c r="AB18" s="100">
        <v>85240</v>
      </c>
      <c r="AC18" s="100">
        <v>103248</v>
      </c>
      <c r="AD18" s="66"/>
      <c r="AE18" s="44">
        <v>8896401200</v>
      </c>
      <c r="AF18" s="44">
        <v>8896391200</v>
      </c>
      <c r="AG18" s="106" t="s">
        <v>63</v>
      </c>
      <c r="AH18" s="18"/>
      <c r="AJ18" s="58">
        <v>74565</v>
      </c>
      <c r="AK18" s="58">
        <v>74565</v>
      </c>
      <c r="AL18" s="117">
        <v>74565</v>
      </c>
      <c r="AM18" s="76">
        <v>79420</v>
      </c>
      <c r="AN18" s="76">
        <v>92700</v>
      </c>
      <c r="AP18" s="74">
        <f t="shared" si="29"/>
        <v>6.7069000201166684E-2</v>
      </c>
      <c r="AQ18" s="74">
        <f t="shared" si="30"/>
        <v>6.7069000201166684E-2</v>
      </c>
      <c r="AR18" s="74">
        <f t="shared" si="31"/>
        <v>6.7069000201166684E-2</v>
      </c>
      <c r="AS18" s="74">
        <f t="shared" si="32"/>
        <v>7.328128934777145E-2</v>
      </c>
      <c r="AT18" s="74">
        <f t="shared" si="33"/>
        <v>0.11378640776699034</v>
      </c>
    </row>
    <row r="19" spans="1:46" x14ac:dyDescent="0.25">
      <c r="A19" s="28"/>
      <c r="B19" s="27"/>
      <c r="C19" s="28"/>
      <c r="D19" s="9" t="s">
        <v>16</v>
      </c>
      <c r="E19" s="29"/>
      <c r="F19" s="30"/>
      <c r="G19" s="29"/>
      <c r="H19" s="29"/>
      <c r="I19" s="29"/>
      <c r="J19" s="31"/>
      <c r="K19" s="5"/>
      <c r="L19" s="5"/>
      <c r="M19" s="5"/>
      <c r="N19" s="5"/>
      <c r="O19" s="5"/>
      <c r="P19" s="5"/>
      <c r="Q19" s="56"/>
      <c r="R19" s="56"/>
      <c r="S19" s="5"/>
      <c r="T19" s="5"/>
      <c r="U19" s="5"/>
      <c r="V19" s="5"/>
      <c r="W19" s="42"/>
      <c r="Z19" s="20"/>
      <c r="AA19" s="20"/>
      <c r="AB19" s="20"/>
      <c r="AC19" s="20"/>
      <c r="AE19" s="27"/>
      <c r="AF19" s="28"/>
      <c r="AG19" s="9" t="s">
        <v>16</v>
      </c>
      <c r="AH19" s="18"/>
      <c r="AJ19" s="5"/>
      <c r="AK19" s="20"/>
      <c r="AL19" s="20"/>
      <c r="AM19" s="20"/>
      <c r="AN19" s="20"/>
      <c r="AP19" s="75"/>
      <c r="AQ19" s="75"/>
      <c r="AR19" s="75"/>
      <c r="AS19" s="75"/>
      <c r="AT19" s="75"/>
    </row>
    <row r="20" spans="1:46" ht="18.75" x14ac:dyDescent="0.3">
      <c r="B20" s="32">
        <v>9205841100</v>
      </c>
      <c r="C20" s="32">
        <v>9205831100</v>
      </c>
      <c r="D20" s="35" t="s">
        <v>66</v>
      </c>
      <c r="E20" s="104" t="s">
        <v>9</v>
      </c>
      <c r="F20" s="49" t="s">
        <v>11</v>
      </c>
      <c r="G20" s="96">
        <v>7500</v>
      </c>
      <c r="H20" s="97" t="s">
        <v>21</v>
      </c>
      <c r="I20" s="96">
        <v>10918</v>
      </c>
      <c r="J20" s="102" t="s">
        <v>68</v>
      </c>
      <c r="K20" s="58">
        <f>Z20</f>
        <v>33177</v>
      </c>
      <c r="L20" s="59"/>
      <c r="M20" s="58">
        <f t="shared" ref="M20" si="40">P20</f>
        <v>33177</v>
      </c>
      <c r="N20" s="78">
        <f t="shared" ref="N20" si="41">P20-(O20*2)</f>
        <v>11059</v>
      </c>
      <c r="O20" s="78">
        <f t="shared" ref="O20" si="42">ROUND(P20/3,0)</f>
        <v>11059</v>
      </c>
      <c r="P20" s="79">
        <f t="shared" ref="P20" si="43">AA20-X20</f>
        <v>33177</v>
      </c>
      <c r="Q20" s="78">
        <f t="shared" ref="Q20" si="44">S20-(R20*4)</f>
        <v>7108</v>
      </c>
      <c r="R20" s="78">
        <f t="shared" ref="R20" si="45">ROUND(S20/5,0)</f>
        <v>7108</v>
      </c>
      <c r="S20" s="79">
        <f t="shared" ref="S20" si="46">AB20-X20</f>
        <v>35540</v>
      </c>
      <c r="T20" s="80">
        <f t="shared" ref="T20" si="47">V20-(U20*8)</f>
        <v>4783</v>
      </c>
      <c r="U20" s="80">
        <f t="shared" ref="U20:U39" si="48">ROUND(V20/9,0)</f>
        <v>4783</v>
      </c>
      <c r="V20" s="81">
        <f t="shared" ref="V20" si="49">AC20-X20</f>
        <v>43047</v>
      </c>
      <c r="W20" s="42"/>
      <c r="Z20" s="83">
        <f t="shared" ref="Z20:Z43" si="50">AA20</f>
        <v>33177</v>
      </c>
      <c r="AA20" s="107">
        <v>33177</v>
      </c>
      <c r="AB20" s="107">
        <v>35540</v>
      </c>
      <c r="AC20" s="107">
        <v>43047</v>
      </c>
      <c r="AD20" s="66"/>
      <c r="AE20" s="7">
        <v>9205841200</v>
      </c>
      <c r="AF20" s="7">
        <v>9205831200</v>
      </c>
      <c r="AG20" s="60" t="s">
        <v>67</v>
      </c>
      <c r="AH20" s="18"/>
      <c r="AJ20" s="58">
        <v>31089</v>
      </c>
      <c r="AK20" s="58">
        <v>31089</v>
      </c>
      <c r="AL20" s="117">
        <v>31089</v>
      </c>
      <c r="AM20" s="76">
        <v>33115</v>
      </c>
      <c r="AN20" s="76">
        <v>38655</v>
      </c>
      <c r="AP20" s="74">
        <f t="shared" ref="AP20:AP27" si="51">K20/AJ20-1</f>
        <v>6.7162018720447803E-2</v>
      </c>
      <c r="AQ20" s="74">
        <f t="shared" ref="AQ20:AQ27" si="52">M20/AK20-1</f>
        <v>6.7162018720447803E-2</v>
      </c>
      <c r="AR20" s="74">
        <f t="shared" ref="AR20:AR27" si="53">P20/AL20-1</f>
        <v>6.7162018720447803E-2</v>
      </c>
      <c r="AS20" s="74">
        <f t="shared" ref="AS20:AS27" si="54">S20/AM20-1</f>
        <v>7.322965423524086E-2</v>
      </c>
      <c r="AT20" s="74">
        <f t="shared" ref="AT20:AT27" si="55">V20/AN20-1</f>
        <v>0.11362048894062871</v>
      </c>
    </row>
    <row r="21" spans="1:46" ht="18.75" x14ac:dyDescent="0.3">
      <c r="B21" s="32">
        <v>9209371100</v>
      </c>
      <c r="C21" s="32">
        <v>9209361100</v>
      </c>
      <c r="D21" s="106" t="s">
        <v>81</v>
      </c>
      <c r="E21" s="104" t="s">
        <v>9</v>
      </c>
      <c r="F21" s="49" t="s">
        <v>11</v>
      </c>
      <c r="G21" s="96">
        <v>9000</v>
      </c>
      <c r="H21" s="97" t="s">
        <v>27</v>
      </c>
      <c r="I21" s="96">
        <v>10918</v>
      </c>
      <c r="J21" s="102" t="s">
        <v>68</v>
      </c>
      <c r="K21" s="132">
        <f>AA21</f>
        <v>36780</v>
      </c>
      <c r="L21" s="131">
        <v>2000</v>
      </c>
      <c r="M21" s="58">
        <f t="shared" ref="M21" si="56">P21</f>
        <v>34780</v>
      </c>
      <c r="N21" s="78">
        <f t="shared" ref="N21" si="57">P21-(O21*2)</f>
        <v>11594</v>
      </c>
      <c r="O21" s="78">
        <f t="shared" ref="O21" si="58">ROUND(P21/3,0)</f>
        <v>11593</v>
      </c>
      <c r="P21" s="79">
        <f t="shared" ref="P21" si="59">AA21-X21</f>
        <v>34780</v>
      </c>
      <c r="Q21" s="78">
        <f t="shared" ref="Q21" si="60">S21-(R21*4)</f>
        <v>7481</v>
      </c>
      <c r="R21" s="78">
        <f t="shared" ref="R21" si="61">ROUND(S21/5,0)</f>
        <v>7481</v>
      </c>
      <c r="S21" s="79">
        <f t="shared" ref="S21" si="62">AB21-X21</f>
        <v>37405</v>
      </c>
      <c r="T21" s="80">
        <f t="shared" ref="T21" si="63">V21-(U21*8)</f>
        <v>5079</v>
      </c>
      <c r="U21" s="80">
        <f t="shared" si="48"/>
        <v>5081</v>
      </c>
      <c r="V21" s="81">
        <f t="shared" ref="V21" si="64">AC21-X21</f>
        <v>45727</v>
      </c>
      <c r="W21" s="133" t="s">
        <v>123</v>
      </c>
      <c r="X21" s="11">
        <v>2000</v>
      </c>
      <c r="Z21" s="83">
        <f t="shared" si="50"/>
        <v>36780</v>
      </c>
      <c r="AA21" s="107">
        <v>36780</v>
      </c>
      <c r="AB21" s="107">
        <v>39405</v>
      </c>
      <c r="AC21" s="107">
        <v>47727</v>
      </c>
      <c r="AD21" s="66"/>
      <c r="AE21" s="7">
        <v>9209371200</v>
      </c>
      <c r="AF21" s="7">
        <v>9209361200</v>
      </c>
      <c r="AG21" s="84" t="s">
        <v>82</v>
      </c>
      <c r="AH21" s="18"/>
      <c r="AJ21" s="98">
        <v>34467</v>
      </c>
      <c r="AK21" s="58">
        <v>32467</v>
      </c>
      <c r="AL21" s="117">
        <v>32467</v>
      </c>
      <c r="AM21" s="76">
        <v>34710</v>
      </c>
      <c r="AN21" s="76">
        <v>40858</v>
      </c>
      <c r="AP21" s="74">
        <f t="shared" si="51"/>
        <v>6.7107668204369419E-2</v>
      </c>
      <c r="AQ21" s="74">
        <f t="shared" si="52"/>
        <v>7.124156836172113E-2</v>
      </c>
      <c r="AR21" s="74">
        <f t="shared" si="53"/>
        <v>7.124156836172113E-2</v>
      </c>
      <c r="AS21" s="74">
        <f t="shared" si="54"/>
        <v>7.7643330452319193E-2</v>
      </c>
      <c r="AT21" s="74">
        <f t="shared" si="55"/>
        <v>0.11916882862597289</v>
      </c>
    </row>
    <row r="22" spans="1:46" ht="18.75" x14ac:dyDescent="0.3">
      <c r="B22" s="32">
        <v>9209351100</v>
      </c>
      <c r="C22" s="32">
        <v>9209341100</v>
      </c>
      <c r="D22" s="106" t="s">
        <v>80</v>
      </c>
      <c r="E22" s="104" t="s">
        <v>9</v>
      </c>
      <c r="F22" s="49" t="s">
        <v>11</v>
      </c>
      <c r="G22" s="96">
        <v>12000</v>
      </c>
      <c r="H22" s="97" t="s">
        <v>28</v>
      </c>
      <c r="I22" s="96">
        <v>12500</v>
      </c>
      <c r="J22" s="102" t="s">
        <v>84</v>
      </c>
      <c r="K22" s="132">
        <f>AA22</f>
        <v>39753</v>
      </c>
      <c r="L22" s="131">
        <v>2000</v>
      </c>
      <c r="M22" s="58">
        <f t="shared" ref="M22:M27" si="65">P22</f>
        <v>37753</v>
      </c>
      <c r="N22" s="78">
        <f t="shared" ref="N22:N27" si="66">P22-(O22*2)</f>
        <v>12585</v>
      </c>
      <c r="O22" s="78">
        <f t="shared" ref="O22:O27" si="67">ROUND(P22/3,0)</f>
        <v>12584</v>
      </c>
      <c r="P22" s="79">
        <f t="shared" ref="P22:P27" si="68">AA22-X22</f>
        <v>37753</v>
      </c>
      <c r="Q22" s="78">
        <f t="shared" ref="Q22:Q27" si="69">S22-(R22*4)</f>
        <v>8118</v>
      </c>
      <c r="R22" s="78">
        <f t="shared" ref="R22:R27" si="70">ROUND(S22/5,0)</f>
        <v>8118</v>
      </c>
      <c r="S22" s="79">
        <f t="shared" ref="S22:S27" si="71">AB22-X22</f>
        <v>40590</v>
      </c>
      <c r="T22" s="80">
        <f t="shared" ref="T22:T27" si="72">V22-(U22*8)</f>
        <v>5508</v>
      </c>
      <c r="U22" s="80">
        <f t="shared" si="48"/>
        <v>5510</v>
      </c>
      <c r="V22" s="81">
        <f t="shared" ref="V22:V27" si="73">AC22-X22</f>
        <v>49588</v>
      </c>
      <c r="W22" s="133" t="s">
        <v>123</v>
      </c>
      <c r="X22" s="11">
        <v>2000</v>
      </c>
      <c r="Z22" s="83">
        <f t="shared" si="50"/>
        <v>39753</v>
      </c>
      <c r="AA22" s="107">
        <v>39753</v>
      </c>
      <c r="AB22" s="107">
        <v>42590</v>
      </c>
      <c r="AC22" s="107">
        <v>51588</v>
      </c>
      <c r="AD22" s="66"/>
      <c r="AE22" s="7">
        <v>9209351200</v>
      </c>
      <c r="AF22" s="7">
        <v>9209341200</v>
      </c>
      <c r="AG22" s="84" t="s">
        <v>83</v>
      </c>
      <c r="AH22" s="18"/>
      <c r="AJ22" s="98">
        <v>37254</v>
      </c>
      <c r="AK22" s="58">
        <v>35254</v>
      </c>
      <c r="AL22" s="117">
        <v>35254</v>
      </c>
      <c r="AM22" s="76">
        <v>37680</v>
      </c>
      <c r="AN22" s="76">
        <v>44314</v>
      </c>
      <c r="AP22" s="74">
        <f t="shared" si="51"/>
        <v>6.7080045095828655E-2</v>
      </c>
      <c r="AQ22" s="74">
        <f t="shared" si="52"/>
        <v>7.0885573268281599E-2</v>
      </c>
      <c r="AR22" s="74">
        <f t="shared" si="53"/>
        <v>7.0885573268281599E-2</v>
      </c>
      <c r="AS22" s="74">
        <f t="shared" si="54"/>
        <v>7.7229299363057224E-2</v>
      </c>
      <c r="AT22" s="74">
        <f t="shared" si="55"/>
        <v>0.11901430699101856</v>
      </c>
    </row>
    <row r="23" spans="1:46" s="14" customFormat="1" ht="18.75" x14ac:dyDescent="0.3">
      <c r="A23"/>
      <c r="B23" s="32">
        <v>9209731100</v>
      </c>
      <c r="C23" s="32">
        <v>9209721100</v>
      </c>
      <c r="D23" s="35" t="s">
        <v>87</v>
      </c>
      <c r="E23" s="104" t="s">
        <v>9</v>
      </c>
      <c r="F23" s="49" t="s">
        <v>91</v>
      </c>
      <c r="G23" s="96">
        <v>14500</v>
      </c>
      <c r="H23" s="97" t="s">
        <v>22</v>
      </c>
      <c r="I23" s="96" t="s">
        <v>17</v>
      </c>
      <c r="J23" s="102" t="s">
        <v>17</v>
      </c>
      <c r="K23" s="132">
        <f t="shared" ref="K23:K25" si="74">Z23</f>
        <v>36780</v>
      </c>
      <c r="L23" s="131">
        <v>2000</v>
      </c>
      <c r="M23" s="58">
        <f t="shared" si="65"/>
        <v>34780</v>
      </c>
      <c r="N23" s="78">
        <f t="shared" si="66"/>
        <v>11594</v>
      </c>
      <c r="O23" s="78">
        <f t="shared" si="67"/>
        <v>11593</v>
      </c>
      <c r="P23" s="79">
        <f t="shared" si="68"/>
        <v>34780</v>
      </c>
      <c r="Q23" s="78">
        <f t="shared" si="69"/>
        <v>7481</v>
      </c>
      <c r="R23" s="78">
        <f t="shared" si="70"/>
        <v>7481</v>
      </c>
      <c r="S23" s="79">
        <f t="shared" si="71"/>
        <v>37405</v>
      </c>
      <c r="T23" s="80">
        <f t="shared" si="72"/>
        <v>5079</v>
      </c>
      <c r="U23" s="80">
        <f t="shared" si="48"/>
        <v>5081</v>
      </c>
      <c r="V23" s="81">
        <f t="shared" si="73"/>
        <v>45727</v>
      </c>
      <c r="W23" s="133" t="s">
        <v>123</v>
      </c>
      <c r="X23" s="11">
        <v>2000</v>
      </c>
      <c r="Y23" s="69"/>
      <c r="Z23" s="83">
        <f t="shared" si="50"/>
        <v>36780</v>
      </c>
      <c r="AA23" s="107">
        <v>36780</v>
      </c>
      <c r="AB23" s="107">
        <v>39405</v>
      </c>
      <c r="AC23" s="107">
        <v>47727</v>
      </c>
      <c r="AD23" s="70"/>
      <c r="AE23" s="32">
        <v>9209731200</v>
      </c>
      <c r="AF23" s="32">
        <v>9209721200</v>
      </c>
      <c r="AG23" s="33" t="s">
        <v>88</v>
      </c>
      <c r="AH23" s="71"/>
      <c r="AJ23" s="58">
        <v>34467</v>
      </c>
      <c r="AK23" s="58">
        <v>32467</v>
      </c>
      <c r="AL23" s="117">
        <v>32467</v>
      </c>
      <c r="AM23" s="76">
        <v>34710</v>
      </c>
      <c r="AN23" s="76">
        <v>40858</v>
      </c>
      <c r="AO23" s="39"/>
      <c r="AP23" s="74">
        <f t="shared" si="51"/>
        <v>6.7107668204369419E-2</v>
      </c>
      <c r="AQ23" s="74">
        <f t="shared" si="52"/>
        <v>7.124156836172113E-2</v>
      </c>
      <c r="AR23" s="74">
        <f t="shared" si="53"/>
        <v>7.124156836172113E-2</v>
      </c>
      <c r="AS23" s="74">
        <f t="shared" si="54"/>
        <v>7.7643330452319193E-2</v>
      </c>
      <c r="AT23" s="74">
        <f t="shared" si="55"/>
        <v>0.11916882862597289</v>
      </c>
    </row>
    <row r="24" spans="1:46" ht="18.75" x14ac:dyDescent="0.3">
      <c r="B24" s="32">
        <v>8808761100</v>
      </c>
      <c r="C24" s="32">
        <v>8808751100</v>
      </c>
      <c r="D24" s="35" t="s">
        <v>37</v>
      </c>
      <c r="E24" s="104" t="s">
        <v>9</v>
      </c>
      <c r="F24" s="49" t="s">
        <v>11</v>
      </c>
      <c r="G24" s="96">
        <v>14500</v>
      </c>
      <c r="H24" s="97" t="s">
        <v>22</v>
      </c>
      <c r="I24" s="96">
        <v>15010</v>
      </c>
      <c r="J24" s="102" t="s">
        <v>23</v>
      </c>
      <c r="K24" s="132">
        <f t="shared" si="74"/>
        <v>47394</v>
      </c>
      <c r="L24" s="131">
        <v>2000</v>
      </c>
      <c r="M24" s="58">
        <f t="shared" si="65"/>
        <v>45394</v>
      </c>
      <c r="N24" s="78">
        <f t="shared" si="66"/>
        <v>15132</v>
      </c>
      <c r="O24" s="78">
        <f t="shared" si="67"/>
        <v>15131</v>
      </c>
      <c r="P24" s="79">
        <f t="shared" si="68"/>
        <v>45394</v>
      </c>
      <c r="Q24" s="78">
        <f t="shared" si="69"/>
        <v>9755</v>
      </c>
      <c r="R24" s="78">
        <f t="shared" si="70"/>
        <v>9755</v>
      </c>
      <c r="S24" s="79">
        <f t="shared" si="71"/>
        <v>48775</v>
      </c>
      <c r="T24" s="80">
        <f t="shared" si="72"/>
        <v>6609</v>
      </c>
      <c r="U24" s="80">
        <f t="shared" si="48"/>
        <v>6611</v>
      </c>
      <c r="V24" s="81">
        <f t="shared" si="73"/>
        <v>59497</v>
      </c>
      <c r="W24" s="133" t="s">
        <v>123</v>
      </c>
      <c r="X24" s="11">
        <v>2000</v>
      </c>
      <c r="Z24" s="83">
        <f t="shared" si="50"/>
        <v>47394</v>
      </c>
      <c r="AA24" s="107">
        <v>47394</v>
      </c>
      <c r="AB24" s="107">
        <v>50775</v>
      </c>
      <c r="AC24" s="107">
        <v>61497</v>
      </c>
      <c r="AD24" s="66"/>
      <c r="AE24" s="7">
        <v>8808761200</v>
      </c>
      <c r="AF24" s="7">
        <v>8808751200</v>
      </c>
      <c r="AG24" s="84" t="s">
        <v>40</v>
      </c>
      <c r="AH24" s="18"/>
      <c r="AJ24" s="58">
        <v>44415</v>
      </c>
      <c r="AK24" s="58">
        <v>42415</v>
      </c>
      <c r="AL24" s="117">
        <v>42415</v>
      </c>
      <c r="AM24" s="76">
        <v>45305</v>
      </c>
      <c r="AN24" s="76">
        <v>53224</v>
      </c>
      <c r="AP24" s="74">
        <f t="shared" si="51"/>
        <v>6.7071935157041462E-2</v>
      </c>
      <c r="AQ24" s="74">
        <f t="shared" si="52"/>
        <v>7.0234586820700162E-2</v>
      </c>
      <c r="AR24" s="74">
        <f t="shared" si="53"/>
        <v>7.0234586820700162E-2</v>
      </c>
      <c r="AS24" s="74">
        <f t="shared" si="54"/>
        <v>7.6591987639333503E-2</v>
      </c>
      <c r="AT24" s="74">
        <f t="shared" si="55"/>
        <v>0.11786036374567854</v>
      </c>
    </row>
    <row r="25" spans="1:46" ht="18.75" x14ac:dyDescent="0.3">
      <c r="B25" s="32">
        <v>8866261100</v>
      </c>
      <c r="C25" s="32">
        <v>8866271100</v>
      </c>
      <c r="D25" s="108" t="s">
        <v>38</v>
      </c>
      <c r="E25" s="104" t="s">
        <v>9</v>
      </c>
      <c r="F25" s="49" t="s">
        <v>11</v>
      </c>
      <c r="G25" s="96">
        <v>18000</v>
      </c>
      <c r="H25" s="97" t="s">
        <v>12</v>
      </c>
      <c r="I25" s="96">
        <v>19790</v>
      </c>
      <c r="J25" s="102" t="s">
        <v>13</v>
      </c>
      <c r="K25" s="132">
        <f t="shared" si="74"/>
        <v>55104</v>
      </c>
      <c r="L25" s="131">
        <v>2000</v>
      </c>
      <c r="M25" s="58">
        <f t="shared" si="65"/>
        <v>53104</v>
      </c>
      <c r="N25" s="78">
        <f t="shared" si="66"/>
        <v>17702</v>
      </c>
      <c r="O25" s="78">
        <f t="shared" si="67"/>
        <v>17701</v>
      </c>
      <c r="P25" s="79">
        <f t="shared" si="68"/>
        <v>53104</v>
      </c>
      <c r="Q25" s="78">
        <f t="shared" si="69"/>
        <v>11407</v>
      </c>
      <c r="R25" s="78">
        <f t="shared" si="70"/>
        <v>11407</v>
      </c>
      <c r="S25" s="79">
        <f t="shared" si="71"/>
        <v>57035</v>
      </c>
      <c r="T25" s="80">
        <f t="shared" si="72"/>
        <v>7721</v>
      </c>
      <c r="U25" s="80">
        <f t="shared" si="48"/>
        <v>7723</v>
      </c>
      <c r="V25" s="81">
        <f t="shared" si="73"/>
        <v>69505</v>
      </c>
      <c r="W25" s="133" t="s">
        <v>123</v>
      </c>
      <c r="X25" s="11">
        <v>2000</v>
      </c>
      <c r="Z25" s="83">
        <f t="shared" si="50"/>
        <v>55104</v>
      </c>
      <c r="AA25" s="107">
        <v>55104</v>
      </c>
      <c r="AB25" s="107">
        <v>59035</v>
      </c>
      <c r="AC25" s="107">
        <v>71505</v>
      </c>
      <c r="AD25" s="66"/>
      <c r="AE25" s="7">
        <v>8801161200</v>
      </c>
      <c r="AF25" s="7">
        <v>8801151200</v>
      </c>
      <c r="AG25" s="84" t="s">
        <v>41</v>
      </c>
      <c r="AH25" s="18"/>
      <c r="AJ25" s="58">
        <v>51639</v>
      </c>
      <c r="AK25" s="58">
        <v>49639</v>
      </c>
      <c r="AL25" s="117">
        <v>49639</v>
      </c>
      <c r="AM25" s="76">
        <v>53000</v>
      </c>
      <c r="AN25" s="76">
        <v>62197</v>
      </c>
      <c r="AP25" s="74">
        <f t="shared" si="51"/>
        <v>6.7100447336315483E-2</v>
      </c>
      <c r="AQ25" s="74">
        <f t="shared" si="52"/>
        <v>6.9803984770039795E-2</v>
      </c>
      <c r="AR25" s="74">
        <f t="shared" si="53"/>
        <v>6.9803984770039795E-2</v>
      </c>
      <c r="AS25" s="74">
        <f t="shared" si="54"/>
        <v>7.6132075471698091E-2</v>
      </c>
      <c r="AT25" s="74">
        <f t="shared" si="55"/>
        <v>0.11749762850298251</v>
      </c>
    </row>
    <row r="26" spans="1:46" ht="18.75" x14ac:dyDescent="0.3">
      <c r="B26" s="127">
        <v>9212271100</v>
      </c>
      <c r="C26" s="128">
        <v>9212261100</v>
      </c>
      <c r="D26" s="108" t="s">
        <v>120</v>
      </c>
      <c r="E26" s="104" t="s">
        <v>9</v>
      </c>
      <c r="F26" s="49" t="s">
        <v>11</v>
      </c>
      <c r="G26" s="96"/>
      <c r="H26" s="97"/>
      <c r="I26" s="96"/>
      <c r="J26" s="102"/>
      <c r="K26" s="132">
        <f t="shared" ref="K26" si="75">Z26</f>
        <v>60474</v>
      </c>
      <c r="L26" s="131">
        <v>2000</v>
      </c>
      <c r="M26" s="58">
        <f t="shared" ref="M26" si="76">P26</f>
        <v>58474</v>
      </c>
      <c r="N26" s="78">
        <f t="shared" ref="N26" si="77">P26-(O26*2)</f>
        <v>19492</v>
      </c>
      <c r="O26" s="78">
        <f t="shared" ref="O26" si="78">ROUND(P26/3,0)</f>
        <v>19491</v>
      </c>
      <c r="P26" s="79">
        <f t="shared" ref="P26" si="79">AA26-X26</f>
        <v>58474</v>
      </c>
      <c r="Q26" s="78">
        <f t="shared" ref="Q26" si="80">S26-(R26*4)</f>
        <v>12557</v>
      </c>
      <c r="R26" s="78">
        <f t="shared" ref="R26" si="81">ROUND(S26/5,0)</f>
        <v>12557</v>
      </c>
      <c r="S26" s="79">
        <f t="shared" ref="S26" si="82">AB26-X26</f>
        <v>62785</v>
      </c>
      <c r="T26" s="80">
        <f t="shared" ref="T26" si="83">V26-(U26*8)</f>
        <v>8495</v>
      </c>
      <c r="U26" s="80">
        <f t="shared" ref="U26" si="84">ROUND(V26/9,0)</f>
        <v>8497</v>
      </c>
      <c r="V26" s="81">
        <f t="shared" ref="V26" si="85">AC26-X26</f>
        <v>76471</v>
      </c>
      <c r="W26" s="133" t="s">
        <v>123</v>
      </c>
      <c r="X26" s="11">
        <v>2000</v>
      </c>
      <c r="Z26" s="83">
        <f t="shared" si="50"/>
        <v>60474</v>
      </c>
      <c r="AA26" s="107">
        <v>60474</v>
      </c>
      <c r="AB26" s="107">
        <v>64785</v>
      </c>
      <c r="AC26" s="107">
        <v>78471</v>
      </c>
      <c r="AD26" s="66"/>
      <c r="AE26" s="45"/>
      <c r="AF26" s="46"/>
      <c r="AG26" s="84"/>
      <c r="AH26" s="18"/>
      <c r="AJ26" s="58">
        <v>56670</v>
      </c>
      <c r="AK26" s="58">
        <v>54670</v>
      </c>
      <c r="AL26" s="117">
        <v>54670</v>
      </c>
      <c r="AM26" s="76">
        <v>58360</v>
      </c>
      <c r="AN26" s="76">
        <v>68461</v>
      </c>
      <c r="AP26" s="74">
        <f t="shared" ref="AP26" si="86">K26/AJ26-1</f>
        <v>6.7125463208046687E-2</v>
      </c>
      <c r="AQ26" s="74">
        <f t="shared" ref="AQ26" si="87">M26/AK26-1</f>
        <v>6.9581123102249842E-2</v>
      </c>
      <c r="AR26" s="74">
        <f t="shared" ref="AR26" si="88">P26/AL26-1</f>
        <v>6.9581123102249842E-2</v>
      </c>
      <c r="AS26" s="74">
        <f t="shared" ref="AS26" si="89">S26/AM26-1</f>
        <v>7.5822481151473609E-2</v>
      </c>
      <c r="AT26" s="74">
        <f t="shared" ref="AT26" si="90">V26/AN26-1</f>
        <v>0.11700092023195685</v>
      </c>
    </row>
    <row r="27" spans="1:46" ht="18.75" x14ac:dyDescent="0.3">
      <c r="B27" s="45">
        <v>8866241100</v>
      </c>
      <c r="C27" s="46">
        <v>8866251100</v>
      </c>
      <c r="D27" s="47" t="s">
        <v>39</v>
      </c>
      <c r="E27" s="48" t="s">
        <v>9</v>
      </c>
      <c r="F27" s="49" t="s">
        <v>11</v>
      </c>
      <c r="G27" s="50">
        <v>24000</v>
      </c>
      <c r="H27" s="51" t="s">
        <v>14</v>
      </c>
      <c r="I27" s="50">
        <v>25590</v>
      </c>
      <c r="J27" s="52" t="s">
        <v>15</v>
      </c>
      <c r="K27" s="132">
        <f>Z27</f>
        <v>65505</v>
      </c>
      <c r="L27" s="131">
        <v>2000</v>
      </c>
      <c r="M27" s="58">
        <f t="shared" si="65"/>
        <v>63505</v>
      </c>
      <c r="N27" s="78">
        <f t="shared" si="66"/>
        <v>21169</v>
      </c>
      <c r="O27" s="78">
        <f t="shared" si="67"/>
        <v>21168</v>
      </c>
      <c r="P27" s="79">
        <f t="shared" si="68"/>
        <v>63505</v>
      </c>
      <c r="Q27" s="78">
        <f t="shared" si="69"/>
        <v>13635</v>
      </c>
      <c r="R27" s="78">
        <f t="shared" si="70"/>
        <v>13635</v>
      </c>
      <c r="S27" s="79">
        <f t="shared" si="71"/>
        <v>68175</v>
      </c>
      <c r="T27" s="80">
        <f t="shared" si="72"/>
        <v>9220</v>
      </c>
      <c r="U27" s="80">
        <f t="shared" si="48"/>
        <v>9222</v>
      </c>
      <c r="V27" s="81">
        <f t="shared" si="73"/>
        <v>82996</v>
      </c>
      <c r="W27" s="133" t="s">
        <v>123</v>
      </c>
      <c r="X27" s="11">
        <v>2000</v>
      </c>
      <c r="Z27" s="83">
        <f t="shared" si="50"/>
        <v>65505</v>
      </c>
      <c r="AA27" s="107">
        <v>65505</v>
      </c>
      <c r="AB27" s="107">
        <v>70175</v>
      </c>
      <c r="AC27" s="107">
        <v>84996</v>
      </c>
      <c r="AD27" s="66"/>
      <c r="AE27" s="45">
        <v>8868471200</v>
      </c>
      <c r="AF27" s="46">
        <v>8868481200</v>
      </c>
      <c r="AG27" s="84" t="s">
        <v>42</v>
      </c>
      <c r="AH27" s="18"/>
      <c r="AJ27" s="58">
        <v>61386</v>
      </c>
      <c r="AK27" s="58">
        <v>59386</v>
      </c>
      <c r="AL27" s="117">
        <v>59386</v>
      </c>
      <c r="AM27" s="76">
        <v>63380</v>
      </c>
      <c r="AN27" s="76">
        <v>74320</v>
      </c>
      <c r="AP27" s="74">
        <f t="shared" si="51"/>
        <v>6.7099990225784278E-2</v>
      </c>
      <c r="AQ27" s="74">
        <f t="shared" si="52"/>
        <v>6.9359781766746398E-2</v>
      </c>
      <c r="AR27" s="74">
        <f t="shared" si="53"/>
        <v>6.9359781766746398E-2</v>
      </c>
      <c r="AS27" s="74">
        <f t="shared" si="54"/>
        <v>7.5654780687914203E-2</v>
      </c>
      <c r="AT27" s="74">
        <f t="shared" si="55"/>
        <v>0.11673842841765336</v>
      </c>
    </row>
    <row r="28" spans="1:46" x14ac:dyDescent="0.25">
      <c r="A28" s="28"/>
      <c r="B28" s="27"/>
      <c r="C28" s="28"/>
      <c r="D28" s="9" t="s">
        <v>48</v>
      </c>
      <c r="E28" s="29"/>
      <c r="F28" s="30"/>
      <c r="G28" s="29"/>
      <c r="H28" s="29"/>
      <c r="I28" s="29"/>
      <c r="J28" s="31"/>
      <c r="K28" s="31"/>
      <c r="L28" s="5"/>
      <c r="M28" s="5"/>
      <c r="N28" s="5"/>
      <c r="O28" s="5"/>
      <c r="P28" s="5"/>
      <c r="Q28" s="56"/>
      <c r="R28" s="56"/>
      <c r="S28" s="5"/>
      <c r="T28" s="5"/>
      <c r="U28" s="5"/>
      <c r="V28" s="5"/>
      <c r="W28" s="42"/>
      <c r="Z28" s="20"/>
      <c r="AA28" s="20"/>
      <c r="AB28" s="20"/>
      <c r="AC28" s="20"/>
      <c r="AE28" s="5"/>
      <c r="AF28" s="5"/>
      <c r="AG28" s="9" t="s">
        <v>44</v>
      </c>
      <c r="AH28" s="18"/>
      <c r="AJ28" s="31"/>
      <c r="AK28" s="20"/>
      <c r="AL28" s="20"/>
      <c r="AM28" s="20"/>
      <c r="AN28" s="20"/>
      <c r="AP28" s="75"/>
      <c r="AQ28" s="75"/>
      <c r="AR28" s="75"/>
      <c r="AS28" s="75"/>
      <c r="AT28" s="75"/>
    </row>
    <row r="29" spans="1:46" ht="18.75" x14ac:dyDescent="0.3">
      <c r="B29" s="32">
        <v>9211061100</v>
      </c>
      <c r="C29" s="32">
        <v>9211051100</v>
      </c>
      <c r="D29" s="108" t="s">
        <v>92</v>
      </c>
      <c r="E29" s="104" t="s">
        <v>9</v>
      </c>
      <c r="F29" s="49" t="s">
        <v>11</v>
      </c>
      <c r="G29" s="96">
        <v>9000</v>
      </c>
      <c r="H29" s="97" t="s">
        <v>27</v>
      </c>
      <c r="I29" s="96">
        <v>10000</v>
      </c>
      <c r="J29" s="97" t="s">
        <v>93</v>
      </c>
      <c r="K29" s="58">
        <f>Z29</f>
        <v>41745</v>
      </c>
      <c r="L29" s="59"/>
      <c r="M29" s="58">
        <f t="shared" ref="M29:M32" si="91">P29</f>
        <v>41745</v>
      </c>
      <c r="N29" s="78">
        <f t="shared" ref="N29:N32" si="92">P29-(O29*2)</f>
        <v>13915</v>
      </c>
      <c r="O29" s="78">
        <f t="shared" ref="O29:O32" si="93">ROUND(P29/3,0)</f>
        <v>13915</v>
      </c>
      <c r="P29" s="79">
        <f t="shared" ref="P29:P32" si="94">AA29-X29</f>
        <v>41745</v>
      </c>
      <c r="Q29" s="78">
        <f t="shared" ref="Q29:Q32" si="95">S29-(R29*4)</f>
        <v>8945</v>
      </c>
      <c r="R29" s="78">
        <f t="shared" ref="R29:R32" si="96">ROUND(S29/5,0)</f>
        <v>8945</v>
      </c>
      <c r="S29" s="79">
        <f t="shared" ref="S29:S32" si="97">AB29-X29</f>
        <v>44725</v>
      </c>
      <c r="T29" s="80">
        <f t="shared" ref="T29:T32" si="98">V29-(U29*8)</f>
        <v>6019</v>
      </c>
      <c r="U29" s="80">
        <f t="shared" si="48"/>
        <v>6019</v>
      </c>
      <c r="V29" s="81">
        <f t="shared" ref="V29:V32" si="99">AC29-X29</f>
        <v>54171</v>
      </c>
      <c r="W29" s="82"/>
      <c r="Y29" s="99">
        <f>M29/M21*100</f>
        <v>120.02587694077056</v>
      </c>
      <c r="Z29" s="83">
        <f>AA29</f>
        <v>41745</v>
      </c>
      <c r="AA29" s="107">
        <v>41745</v>
      </c>
      <c r="AB29" s="107">
        <v>44725</v>
      </c>
      <c r="AC29" s="107">
        <v>54171</v>
      </c>
      <c r="AD29" s="65"/>
      <c r="AE29" s="45"/>
      <c r="AF29" s="46"/>
      <c r="AG29" s="84"/>
      <c r="AH29" s="18"/>
      <c r="AI29" s="77"/>
      <c r="AJ29" s="58">
        <v>39321</v>
      </c>
      <c r="AK29" s="58">
        <v>39321</v>
      </c>
      <c r="AL29" s="117">
        <v>39321</v>
      </c>
      <c r="AM29" s="76">
        <v>41866</v>
      </c>
      <c r="AN29" s="76">
        <v>48846</v>
      </c>
      <c r="AP29" s="74">
        <f t="shared" ref="AP29:AP32" si="100">K29/AJ29-1</f>
        <v>6.1646448462653547E-2</v>
      </c>
      <c r="AQ29" s="74">
        <f t="shared" ref="AQ29:AQ32" si="101">M29/AK29-1</f>
        <v>6.1646448462653547E-2</v>
      </c>
      <c r="AR29" s="74">
        <f t="shared" ref="AR29:AR32" si="102">P29/AL29-1</f>
        <v>6.1646448462653547E-2</v>
      </c>
      <c r="AS29" s="74">
        <f t="shared" ref="AS29:AS32" si="103">S29/AM29-1</f>
        <v>6.8289303969808479E-2</v>
      </c>
      <c r="AT29" s="74">
        <f t="shared" ref="AT29:AT32" si="104">V29/AN29-1</f>
        <v>0.10901609138926416</v>
      </c>
    </row>
    <row r="30" spans="1:46" ht="18.75" x14ac:dyDescent="0.3">
      <c r="B30" s="32">
        <v>9211041100</v>
      </c>
      <c r="C30" s="32">
        <v>9211031100</v>
      </c>
      <c r="D30" s="108" t="s">
        <v>94</v>
      </c>
      <c r="E30" s="104" t="s">
        <v>9</v>
      </c>
      <c r="F30" s="49" t="s">
        <v>11</v>
      </c>
      <c r="G30" s="96">
        <v>12000</v>
      </c>
      <c r="H30" s="97" t="s">
        <v>28</v>
      </c>
      <c r="I30" s="96" t="s">
        <v>95</v>
      </c>
      <c r="J30" s="97" t="s">
        <v>96</v>
      </c>
      <c r="K30" s="58">
        <f t="shared" ref="K30:K32" si="105">Z30</f>
        <v>46113</v>
      </c>
      <c r="L30" s="59"/>
      <c r="M30" s="58">
        <f t="shared" si="91"/>
        <v>46113</v>
      </c>
      <c r="N30" s="78">
        <f t="shared" si="92"/>
        <v>15371</v>
      </c>
      <c r="O30" s="78">
        <f t="shared" si="93"/>
        <v>15371</v>
      </c>
      <c r="P30" s="79">
        <f t="shared" si="94"/>
        <v>46113</v>
      </c>
      <c r="Q30" s="78">
        <f t="shared" si="95"/>
        <v>9881</v>
      </c>
      <c r="R30" s="78">
        <f t="shared" si="96"/>
        <v>9881</v>
      </c>
      <c r="S30" s="79">
        <f t="shared" si="97"/>
        <v>49405</v>
      </c>
      <c r="T30" s="80">
        <f t="shared" si="98"/>
        <v>6649</v>
      </c>
      <c r="U30" s="80">
        <f t="shared" si="48"/>
        <v>6649</v>
      </c>
      <c r="V30" s="81">
        <f t="shared" si="99"/>
        <v>59841</v>
      </c>
      <c r="W30" s="82"/>
      <c r="Y30" s="99">
        <f>M30/M22*100</f>
        <v>122.14393558127831</v>
      </c>
      <c r="Z30" s="83">
        <f t="shared" si="50"/>
        <v>46113</v>
      </c>
      <c r="AA30" s="107">
        <v>46113</v>
      </c>
      <c r="AB30" s="107">
        <v>49405</v>
      </c>
      <c r="AC30" s="107">
        <v>59841</v>
      </c>
      <c r="AD30" s="65"/>
      <c r="AE30" s="45"/>
      <c r="AF30" s="46"/>
      <c r="AG30" s="84"/>
      <c r="AH30" s="18"/>
      <c r="AI30" s="77"/>
      <c r="AJ30" s="58">
        <v>43416</v>
      </c>
      <c r="AK30" s="58">
        <v>43416</v>
      </c>
      <c r="AL30" s="117">
        <v>43416</v>
      </c>
      <c r="AM30" s="76">
        <v>46231</v>
      </c>
      <c r="AN30" s="76">
        <v>53922</v>
      </c>
      <c r="AP30" s="74">
        <f t="shared" si="100"/>
        <v>6.2119955776672287E-2</v>
      </c>
      <c r="AQ30" s="74">
        <f t="shared" si="101"/>
        <v>6.2119955776672287E-2</v>
      </c>
      <c r="AR30" s="74">
        <f t="shared" si="102"/>
        <v>6.2119955776672287E-2</v>
      </c>
      <c r="AS30" s="74">
        <f t="shared" si="103"/>
        <v>6.8655231338279554E-2</v>
      </c>
      <c r="AT30" s="74">
        <f t="shared" si="104"/>
        <v>0.10976966729720705</v>
      </c>
    </row>
    <row r="31" spans="1:46" ht="18.75" x14ac:dyDescent="0.3">
      <c r="B31" s="32">
        <v>8866641100</v>
      </c>
      <c r="C31" s="32">
        <v>8866631100</v>
      </c>
      <c r="D31" s="108" t="s">
        <v>46</v>
      </c>
      <c r="E31" s="104" t="s">
        <v>9</v>
      </c>
      <c r="F31" s="49" t="s">
        <v>11</v>
      </c>
      <c r="G31" s="96">
        <v>18000</v>
      </c>
      <c r="H31" s="97" t="s">
        <v>12</v>
      </c>
      <c r="I31" s="96">
        <v>19790</v>
      </c>
      <c r="J31" s="102" t="s">
        <v>76</v>
      </c>
      <c r="K31" s="58">
        <f t="shared" si="105"/>
        <v>63921</v>
      </c>
      <c r="L31" s="59"/>
      <c r="M31" s="58">
        <f t="shared" si="91"/>
        <v>63921</v>
      </c>
      <c r="N31" s="78">
        <f t="shared" si="92"/>
        <v>21307</v>
      </c>
      <c r="O31" s="78">
        <f t="shared" si="93"/>
        <v>21307</v>
      </c>
      <c r="P31" s="79">
        <f t="shared" si="94"/>
        <v>63921</v>
      </c>
      <c r="Q31" s="78">
        <f t="shared" si="95"/>
        <v>13696</v>
      </c>
      <c r="R31" s="78">
        <f t="shared" si="96"/>
        <v>13696</v>
      </c>
      <c r="S31" s="79">
        <f t="shared" si="97"/>
        <v>68480</v>
      </c>
      <c r="T31" s="80">
        <f t="shared" si="98"/>
        <v>9216</v>
      </c>
      <c r="U31" s="80">
        <f t="shared" si="48"/>
        <v>9216</v>
      </c>
      <c r="V31" s="81">
        <f t="shared" si="99"/>
        <v>82944</v>
      </c>
      <c r="W31" s="82"/>
      <c r="X31" s="64"/>
      <c r="Y31" s="99">
        <f>M31/M25*100</f>
        <v>120.3694636938837</v>
      </c>
      <c r="Z31" s="83">
        <f t="shared" si="50"/>
        <v>63921</v>
      </c>
      <c r="AA31" s="107">
        <v>63921</v>
      </c>
      <c r="AB31" s="107">
        <v>68480</v>
      </c>
      <c r="AC31" s="107">
        <v>82944</v>
      </c>
      <c r="AD31" s="65"/>
      <c r="AE31" s="45"/>
      <c r="AF31" s="46"/>
      <c r="AG31" s="84"/>
      <c r="AH31" s="18"/>
      <c r="AI31" s="77"/>
      <c r="AJ31" s="58">
        <v>60102</v>
      </c>
      <c r="AK31" s="58">
        <v>60102</v>
      </c>
      <c r="AL31" s="117">
        <v>60102</v>
      </c>
      <c r="AM31" s="76">
        <v>64001</v>
      </c>
      <c r="AN31" s="76">
        <v>74667</v>
      </c>
      <c r="AP31" s="74">
        <f t="shared" si="100"/>
        <v>6.3541978636318275E-2</v>
      </c>
      <c r="AQ31" s="74">
        <f t="shared" si="101"/>
        <v>6.3541978636318275E-2</v>
      </c>
      <c r="AR31" s="74">
        <f t="shared" si="102"/>
        <v>6.3541978636318275E-2</v>
      </c>
      <c r="AS31" s="74">
        <f t="shared" si="103"/>
        <v>6.9983281511226458E-2</v>
      </c>
      <c r="AT31" s="74">
        <f t="shared" si="104"/>
        <v>0.11085218369560845</v>
      </c>
    </row>
    <row r="32" spans="1:46" ht="18.75" x14ac:dyDescent="0.3">
      <c r="B32" s="32">
        <v>8868291100</v>
      </c>
      <c r="C32" s="32">
        <v>8868301100</v>
      </c>
      <c r="D32" s="108" t="s">
        <v>45</v>
      </c>
      <c r="E32" s="104" t="s">
        <v>9</v>
      </c>
      <c r="F32" s="49" t="s">
        <v>11</v>
      </c>
      <c r="G32" s="96">
        <v>24000</v>
      </c>
      <c r="H32" s="97" t="s">
        <v>14</v>
      </c>
      <c r="I32" s="96">
        <v>25590</v>
      </c>
      <c r="J32" s="102" t="s">
        <v>15</v>
      </c>
      <c r="K32" s="58">
        <f t="shared" si="105"/>
        <v>74676</v>
      </c>
      <c r="L32" s="59"/>
      <c r="M32" s="58">
        <f t="shared" si="91"/>
        <v>74676</v>
      </c>
      <c r="N32" s="78">
        <f t="shared" si="92"/>
        <v>24892</v>
      </c>
      <c r="O32" s="78">
        <f t="shared" si="93"/>
        <v>24892</v>
      </c>
      <c r="P32" s="79">
        <f t="shared" si="94"/>
        <v>74676</v>
      </c>
      <c r="Q32" s="78">
        <f t="shared" si="95"/>
        <v>16000</v>
      </c>
      <c r="R32" s="78">
        <f t="shared" si="96"/>
        <v>16000</v>
      </c>
      <c r="S32" s="79">
        <f t="shared" si="97"/>
        <v>80000</v>
      </c>
      <c r="T32" s="80">
        <f t="shared" si="98"/>
        <v>10766</v>
      </c>
      <c r="U32" s="80">
        <f t="shared" si="48"/>
        <v>10766</v>
      </c>
      <c r="V32" s="81">
        <f t="shared" si="99"/>
        <v>96894</v>
      </c>
      <c r="W32" s="82"/>
      <c r="X32" s="64"/>
      <c r="Y32" s="99">
        <f>M32/M27*100</f>
        <v>117.59074088654438</v>
      </c>
      <c r="Z32" s="83">
        <f t="shared" si="50"/>
        <v>74676</v>
      </c>
      <c r="AA32" s="107">
        <v>74676</v>
      </c>
      <c r="AB32" s="107">
        <v>80000</v>
      </c>
      <c r="AC32" s="107">
        <v>96894</v>
      </c>
      <c r="AD32" s="65"/>
      <c r="AE32" s="45"/>
      <c r="AF32" s="46"/>
      <c r="AG32" s="84"/>
      <c r="AH32" s="18"/>
      <c r="AI32" s="77"/>
      <c r="AJ32" s="58">
        <v>70181</v>
      </c>
      <c r="AK32" s="58">
        <v>70181</v>
      </c>
      <c r="AL32" s="117">
        <v>70181</v>
      </c>
      <c r="AM32" s="76">
        <v>74736</v>
      </c>
      <c r="AN32" s="76">
        <v>87204</v>
      </c>
      <c r="AP32" s="74">
        <f t="shared" si="100"/>
        <v>6.4048674142574091E-2</v>
      </c>
      <c r="AQ32" s="74">
        <f t="shared" si="101"/>
        <v>6.4048674142574091E-2</v>
      </c>
      <c r="AR32" s="74">
        <f t="shared" si="102"/>
        <v>6.4048674142574091E-2</v>
      </c>
      <c r="AS32" s="74">
        <f t="shared" si="103"/>
        <v>7.0434596446157238E-2</v>
      </c>
      <c r="AT32" s="74">
        <f t="shared" si="104"/>
        <v>0.11111875602036614</v>
      </c>
    </row>
    <row r="33" spans="1:46" x14ac:dyDescent="0.25">
      <c r="A33" s="28"/>
      <c r="B33" s="1"/>
      <c r="C33" s="2"/>
      <c r="D33" s="9" t="s">
        <v>53</v>
      </c>
      <c r="E33" s="3"/>
      <c r="F33" s="4"/>
      <c r="G33" s="10"/>
      <c r="H33" s="6"/>
      <c r="I33" s="10"/>
      <c r="J33" s="6"/>
      <c r="K33" s="6"/>
      <c r="L33" s="5"/>
      <c r="M33" s="5"/>
      <c r="N33" s="5"/>
      <c r="O33" s="5"/>
      <c r="P33" s="5"/>
      <c r="Q33" s="56"/>
      <c r="R33" s="56"/>
      <c r="S33" s="5"/>
      <c r="T33" s="5"/>
      <c r="U33" s="5"/>
      <c r="V33" s="5"/>
      <c r="W33" s="42"/>
      <c r="Z33" s="20"/>
      <c r="AA33" s="20"/>
      <c r="AB33" s="20"/>
      <c r="AC33" s="20"/>
      <c r="AE33" s="1"/>
      <c r="AF33" s="2"/>
      <c r="AG33" s="9" t="s">
        <v>53</v>
      </c>
      <c r="AH33" s="18"/>
      <c r="AJ33" s="6"/>
      <c r="AK33" s="20"/>
      <c r="AL33" s="20"/>
      <c r="AM33" s="20"/>
      <c r="AN33" s="20"/>
      <c r="AP33" s="75"/>
      <c r="AQ33" s="75"/>
      <c r="AR33" s="75"/>
      <c r="AS33" s="75"/>
      <c r="AT33" s="75"/>
    </row>
    <row r="34" spans="1:46" ht="18.75" x14ac:dyDescent="0.3">
      <c r="B34" s="32">
        <v>9215531100</v>
      </c>
      <c r="C34" s="32">
        <v>9215521100</v>
      </c>
      <c r="D34" s="108" t="s">
        <v>121</v>
      </c>
      <c r="E34" s="21"/>
      <c r="F34" s="109"/>
      <c r="G34" s="96"/>
      <c r="H34" s="110"/>
      <c r="I34" s="96"/>
      <c r="J34" s="110"/>
      <c r="K34" s="85">
        <f>Z34</f>
        <v>73044</v>
      </c>
      <c r="L34" s="59"/>
      <c r="M34" s="58">
        <f t="shared" ref="M34" si="106">P34</f>
        <v>73044</v>
      </c>
      <c r="N34" s="78">
        <f t="shared" ref="N34" si="107">P34-(O34*2)</f>
        <v>24348</v>
      </c>
      <c r="O34" s="78">
        <f t="shared" ref="O34" si="108">ROUND(P34/3,0)</f>
        <v>24348</v>
      </c>
      <c r="P34" s="79">
        <f t="shared" ref="P34" si="109">AA34-X34</f>
        <v>73044</v>
      </c>
      <c r="Q34" s="78">
        <f t="shared" ref="Q34" si="110">S34-(R34*4)</f>
        <v>15651</v>
      </c>
      <c r="R34" s="78">
        <f t="shared" ref="R34" si="111">ROUND(S34/5,0)</f>
        <v>15651</v>
      </c>
      <c r="S34" s="79">
        <f t="shared" ref="S34" si="112">AB34-X34</f>
        <v>78255</v>
      </c>
      <c r="T34" s="80">
        <f t="shared" ref="T34" si="113">V34-(U34*8)</f>
        <v>10532</v>
      </c>
      <c r="U34" s="80">
        <f t="shared" ref="U34" si="114">ROUND(V34/9,0)</f>
        <v>10532</v>
      </c>
      <c r="V34" s="81">
        <f t="shared" ref="V34" si="115">AC34-X34</f>
        <v>94788</v>
      </c>
      <c r="W34" s="42"/>
      <c r="Y34" s="101"/>
      <c r="Z34" s="83">
        <f t="shared" si="50"/>
        <v>73044</v>
      </c>
      <c r="AA34" s="107">
        <v>73044</v>
      </c>
      <c r="AB34" s="107">
        <v>78255</v>
      </c>
      <c r="AC34" s="107">
        <v>94788</v>
      </c>
      <c r="AD34" s="66"/>
      <c r="AE34" s="45"/>
      <c r="AF34" s="46"/>
      <c r="AG34" s="129"/>
      <c r="AH34" s="18"/>
      <c r="AJ34" s="117">
        <v>68454</v>
      </c>
      <c r="AK34" s="117">
        <v>68454</v>
      </c>
      <c r="AL34" s="117">
        <v>68454</v>
      </c>
      <c r="AM34" s="76">
        <v>72905</v>
      </c>
      <c r="AN34" s="76">
        <v>85104</v>
      </c>
      <c r="AP34" s="74">
        <f t="shared" ref="AP34" si="116">K34/AJ34-1</f>
        <v>6.7052327110176169E-2</v>
      </c>
      <c r="AQ34" s="74">
        <f t="shared" ref="AQ34" si="117">M34/AK34-1</f>
        <v>6.7052327110176169E-2</v>
      </c>
      <c r="AR34" s="74">
        <f t="shared" ref="AR34" si="118">P34/AL34-1</f>
        <v>6.7052327110176169E-2</v>
      </c>
      <c r="AS34" s="74">
        <f t="shared" ref="AS34" si="119">S34/AM34-1</f>
        <v>7.3383169878609156E-2</v>
      </c>
      <c r="AT34" s="74">
        <f t="shared" ref="AT34" si="120">V34/AN34-1</f>
        <v>0.11379018612521152</v>
      </c>
    </row>
    <row r="35" spans="1:46" ht="18.75" x14ac:dyDescent="0.3">
      <c r="B35" s="32">
        <v>8510861100</v>
      </c>
      <c r="C35" s="32">
        <v>8510851100</v>
      </c>
      <c r="D35" s="108" t="s">
        <v>99</v>
      </c>
      <c r="E35" s="21" t="s">
        <v>9</v>
      </c>
      <c r="F35" s="109" t="s">
        <v>11</v>
      </c>
      <c r="G35" s="96">
        <v>34000</v>
      </c>
      <c r="H35" s="110" t="s">
        <v>17</v>
      </c>
      <c r="I35" s="96">
        <v>37532</v>
      </c>
      <c r="J35" s="110" t="s">
        <v>17</v>
      </c>
      <c r="K35" s="85">
        <f>Z35</f>
        <v>107097</v>
      </c>
      <c r="L35" s="59"/>
      <c r="M35" s="58">
        <f t="shared" ref="M35:M36" si="121">P35</f>
        <v>107097</v>
      </c>
      <c r="N35" s="78">
        <f t="shared" ref="N35:N36" si="122">P35-(O35*2)</f>
        <v>35699</v>
      </c>
      <c r="O35" s="78">
        <f t="shared" ref="O35:O36" si="123">ROUND(P35/3,0)</f>
        <v>35699</v>
      </c>
      <c r="P35" s="79">
        <f t="shared" ref="P35:P36" si="124">AA35-X35</f>
        <v>107097</v>
      </c>
      <c r="Q35" s="78">
        <f t="shared" ref="Q35:Q36" si="125">S35-(R35*4)</f>
        <v>22947</v>
      </c>
      <c r="R35" s="78">
        <f t="shared" ref="R35:R36" si="126">ROUND(S35/5,0)</f>
        <v>22947</v>
      </c>
      <c r="S35" s="79">
        <f t="shared" ref="S35:S36" si="127">AB35-X35</f>
        <v>114735</v>
      </c>
      <c r="T35" s="80">
        <f t="shared" ref="T35:T36" si="128">V35-(U35*8)</f>
        <v>15441</v>
      </c>
      <c r="U35" s="80">
        <f t="shared" si="48"/>
        <v>15441</v>
      </c>
      <c r="V35" s="81">
        <f t="shared" ref="V35:V36" si="129">AC35-X35</f>
        <v>138969</v>
      </c>
      <c r="W35" s="42"/>
      <c r="Y35" s="101"/>
      <c r="Z35" s="83">
        <f t="shared" si="50"/>
        <v>107097</v>
      </c>
      <c r="AA35" s="107">
        <v>107097</v>
      </c>
      <c r="AB35" s="107">
        <v>114735</v>
      </c>
      <c r="AC35" s="107">
        <v>138969</v>
      </c>
      <c r="AD35" s="66"/>
      <c r="AE35" s="7">
        <v>8510841200</v>
      </c>
      <c r="AF35" s="7">
        <v>8510831200</v>
      </c>
      <c r="AG35" s="112" t="s">
        <v>100</v>
      </c>
      <c r="AH35" s="18"/>
      <c r="AJ35" s="58">
        <v>100365</v>
      </c>
      <c r="AK35" s="58">
        <v>100365</v>
      </c>
      <c r="AL35" s="58">
        <v>100365</v>
      </c>
      <c r="AM35" s="83">
        <v>106895</v>
      </c>
      <c r="AN35" s="83">
        <v>124776</v>
      </c>
      <c r="AP35" s="74">
        <f t="shared" ref="AP35:AP36" si="130">K35/AJ35-1</f>
        <v>6.7075175609027093E-2</v>
      </c>
      <c r="AQ35" s="74">
        <f t="shared" ref="AQ35:AQ36" si="131">M35/AK35-1</f>
        <v>6.7075175609027093E-2</v>
      </c>
      <c r="AR35" s="74">
        <f t="shared" ref="AR35:AR36" si="132">P35/AL35-1</f>
        <v>6.7075175609027093E-2</v>
      </c>
      <c r="AS35" s="74">
        <f t="shared" ref="AS35:AS36" si="133">S35/AM35-1</f>
        <v>7.3343000140324577E-2</v>
      </c>
      <c r="AT35" s="74">
        <f t="shared" ref="AT35:AT36" si="134">V35/AN35-1</f>
        <v>0.11374783612233119</v>
      </c>
    </row>
    <row r="36" spans="1:46" ht="18.75" x14ac:dyDescent="0.3">
      <c r="B36" s="7">
        <v>8505591100</v>
      </c>
      <c r="C36" s="7">
        <v>8505581100</v>
      </c>
      <c r="D36" s="108" t="s">
        <v>78</v>
      </c>
      <c r="E36" s="8" t="s">
        <v>9</v>
      </c>
      <c r="F36" s="111" t="s">
        <v>11</v>
      </c>
      <c r="G36" s="96">
        <v>48000</v>
      </c>
      <c r="H36" s="110" t="s">
        <v>17</v>
      </c>
      <c r="I36" s="96">
        <v>57000</v>
      </c>
      <c r="J36" s="110" t="s">
        <v>17</v>
      </c>
      <c r="K36" s="58">
        <f>Z36</f>
        <v>152997</v>
      </c>
      <c r="L36" s="59"/>
      <c r="M36" s="58">
        <f t="shared" si="121"/>
        <v>152997</v>
      </c>
      <c r="N36" s="78">
        <f t="shared" si="122"/>
        <v>50999</v>
      </c>
      <c r="O36" s="78">
        <f t="shared" si="123"/>
        <v>50999</v>
      </c>
      <c r="P36" s="79">
        <f t="shared" si="124"/>
        <v>152997</v>
      </c>
      <c r="Q36" s="78">
        <f t="shared" si="125"/>
        <v>32782</v>
      </c>
      <c r="R36" s="78">
        <f t="shared" si="126"/>
        <v>32782</v>
      </c>
      <c r="S36" s="79">
        <f t="shared" si="127"/>
        <v>163910</v>
      </c>
      <c r="T36" s="80">
        <f t="shared" si="128"/>
        <v>22060</v>
      </c>
      <c r="U36" s="80">
        <f t="shared" si="48"/>
        <v>22060</v>
      </c>
      <c r="V36" s="81">
        <f t="shared" si="129"/>
        <v>198540</v>
      </c>
      <c r="W36" s="42"/>
      <c r="Y36" s="101"/>
      <c r="Z36" s="83">
        <f t="shared" si="50"/>
        <v>152997</v>
      </c>
      <c r="AA36" s="107">
        <v>152997</v>
      </c>
      <c r="AB36" s="107">
        <v>163910</v>
      </c>
      <c r="AC36" s="107">
        <v>198540</v>
      </c>
      <c r="AD36" s="66"/>
      <c r="AE36" s="7">
        <v>8505571200</v>
      </c>
      <c r="AF36" s="7">
        <v>8505561200</v>
      </c>
      <c r="AG36" s="112" t="s">
        <v>79</v>
      </c>
      <c r="AH36" s="18"/>
      <c r="AJ36" s="58">
        <v>143379</v>
      </c>
      <c r="AK36" s="58">
        <v>143379</v>
      </c>
      <c r="AL36" s="58">
        <v>143379</v>
      </c>
      <c r="AM36" s="83">
        <v>152710</v>
      </c>
      <c r="AN36" s="83">
        <v>178254</v>
      </c>
      <c r="AP36" s="74">
        <f t="shared" si="130"/>
        <v>6.7080953277676603E-2</v>
      </c>
      <c r="AQ36" s="74">
        <f t="shared" si="131"/>
        <v>6.7080953277676603E-2</v>
      </c>
      <c r="AR36" s="74">
        <f t="shared" si="132"/>
        <v>6.7080953277676603E-2</v>
      </c>
      <c r="AS36" s="74">
        <f t="shared" si="133"/>
        <v>7.3341627922205443E-2</v>
      </c>
      <c r="AT36" s="74">
        <f t="shared" si="134"/>
        <v>0.11380389780874478</v>
      </c>
    </row>
    <row r="37" spans="1:46" ht="18.75" x14ac:dyDescent="0.3">
      <c r="B37" s="32">
        <v>9217351100</v>
      </c>
      <c r="C37" s="32">
        <v>9217341100</v>
      </c>
      <c r="D37" s="108" t="s">
        <v>122</v>
      </c>
      <c r="E37" s="21"/>
      <c r="F37" s="109"/>
      <c r="G37" s="96"/>
      <c r="H37" s="110"/>
      <c r="I37" s="96"/>
      <c r="J37" s="110"/>
      <c r="K37" s="85">
        <f>Z37</f>
        <v>175917</v>
      </c>
      <c r="L37" s="59"/>
      <c r="M37" s="58">
        <f t="shared" ref="M37" si="135">P37</f>
        <v>175917</v>
      </c>
      <c r="N37" s="78">
        <f t="shared" ref="N37" si="136">P37-(O37*2)</f>
        <v>58639</v>
      </c>
      <c r="O37" s="78">
        <f t="shared" ref="O37" si="137">ROUND(P37/3,0)</f>
        <v>58639</v>
      </c>
      <c r="P37" s="79">
        <f t="shared" ref="P37" si="138">AA37-X37</f>
        <v>175917</v>
      </c>
      <c r="Q37" s="78">
        <f t="shared" ref="Q37" si="139">S37-(R37*4)</f>
        <v>37693</v>
      </c>
      <c r="R37" s="78">
        <f t="shared" ref="R37" si="140">ROUND(S37/5,0)</f>
        <v>37693</v>
      </c>
      <c r="S37" s="79">
        <f t="shared" ref="S37" si="141">AB37-X37</f>
        <v>188465</v>
      </c>
      <c r="T37" s="80">
        <f t="shared" ref="T37" si="142">V37-(U37*8)</f>
        <v>25364</v>
      </c>
      <c r="U37" s="80">
        <f t="shared" ref="U37" si="143">ROUND(V37/9,0)</f>
        <v>25364</v>
      </c>
      <c r="V37" s="81">
        <f t="shared" ref="V37" si="144">AC37-X37</f>
        <v>228276</v>
      </c>
      <c r="W37" s="42"/>
      <c r="Y37" s="101"/>
      <c r="Z37" s="83">
        <f t="shared" ref="Z37" si="145">AA37</f>
        <v>175917</v>
      </c>
      <c r="AA37" s="107">
        <v>175917</v>
      </c>
      <c r="AB37" s="107">
        <v>188465</v>
      </c>
      <c r="AC37" s="107">
        <v>228276</v>
      </c>
      <c r="AD37" s="66"/>
      <c r="AE37" s="130"/>
      <c r="AF37" s="130"/>
      <c r="AG37" s="129"/>
      <c r="AH37" s="18"/>
      <c r="AJ37" s="117">
        <v>164859</v>
      </c>
      <c r="AK37" s="117">
        <v>164859</v>
      </c>
      <c r="AL37" s="117">
        <v>164859</v>
      </c>
      <c r="AM37" s="76">
        <v>175590</v>
      </c>
      <c r="AN37" s="76">
        <v>204957</v>
      </c>
      <c r="AP37" s="74">
        <f t="shared" ref="AP37" si="146">K37/AJ37-1</f>
        <v>6.7075500882572303E-2</v>
      </c>
      <c r="AQ37" s="74">
        <f t="shared" ref="AQ37" si="147">M37/AK37-1</f>
        <v>6.7075500882572303E-2</v>
      </c>
      <c r="AR37" s="74">
        <f t="shared" ref="AR37" si="148">P37/AL37-1</f>
        <v>6.7075500882572303E-2</v>
      </c>
      <c r="AS37" s="74">
        <f t="shared" ref="AS37" si="149">S37/AM37-1</f>
        <v>7.3324221197106798E-2</v>
      </c>
      <c r="AT37" s="74">
        <f t="shared" ref="AT37" si="150">V37/AN37-1</f>
        <v>0.11377508452992569</v>
      </c>
    </row>
    <row r="38" spans="1:46" x14ac:dyDescent="0.25">
      <c r="A38" s="28"/>
      <c r="B38" s="2"/>
      <c r="C38" s="2"/>
      <c r="D38" s="9" t="s">
        <v>77</v>
      </c>
      <c r="E38" s="3"/>
      <c r="F38" s="4"/>
      <c r="G38" s="10"/>
      <c r="H38" s="6"/>
      <c r="I38" s="10"/>
      <c r="J38" s="6"/>
      <c r="K38" s="6"/>
      <c r="L38" s="5"/>
      <c r="M38" s="5"/>
      <c r="N38" s="5"/>
      <c r="O38" s="5"/>
      <c r="P38" s="5"/>
      <c r="Q38" s="56"/>
      <c r="R38" s="56"/>
      <c r="S38" s="5"/>
      <c r="T38" s="5"/>
      <c r="U38" s="5"/>
      <c r="V38" s="5"/>
      <c r="W38" s="42"/>
      <c r="Z38" s="20"/>
      <c r="AA38" s="20"/>
      <c r="AB38" s="20"/>
      <c r="AC38" s="20"/>
      <c r="AE38" s="62"/>
      <c r="AF38" s="62"/>
      <c r="AG38" s="9" t="s">
        <v>77</v>
      </c>
      <c r="AJ38" s="6"/>
      <c r="AK38" s="20"/>
      <c r="AL38" s="20"/>
      <c r="AM38" s="20"/>
      <c r="AN38" s="20"/>
      <c r="AP38" s="75"/>
      <c r="AQ38" s="75"/>
      <c r="AR38" s="75"/>
      <c r="AS38" s="75"/>
      <c r="AT38" s="75"/>
    </row>
    <row r="39" spans="1:46" ht="18.75" x14ac:dyDescent="0.3">
      <c r="B39" s="124"/>
      <c r="C39" s="7">
        <v>8511191100</v>
      </c>
      <c r="D39" s="61" t="s">
        <v>97</v>
      </c>
      <c r="E39" s="8" t="s">
        <v>9</v>
      </c>
      <c r="F39" s="111"/>
      <c r="G39" s="96">
        <v>11680</v>
      </c>
      <c r="H39" s="110" t="s">
        <v>17</v>
      </c>
      <c r="I39" s="96" t="s">
        <v>17</v>
      </c>
      <c r="J39" s="110" t="s">
        <v>17</v>
      </c>
      <c r="K39" s="58">
        <f t="shared" ref="K39" si="151">Z39</f>
        <v>31596</v>
      </c>
      <c r="L39" s="59"/>
      <c r="M39" s="58">
        <f t="shared" ref="M39" si="152">P39</f>
        <v>31596</v>
      </c>
      <c r="N39" s="78">
        <f t="shared" ref="N39" si="153">P39-(O39*2)</f>
        <v>10532</v>
      </c>
      <c r="O39" s="78">
        <f t="shared" ref="O39" si="154">ROUND(P39/3,0)</f>
        <v>10532</v>
      </c>
      <c r="P39" s="79">
        <f t="shared" ref="P39" si="155">AA39-X39</f>
        <v>31596</v>
      </c>
      <c r="Q39" s="78">
        <f t="shared" ref="Q39" si="156">S39-(R39*4)</f>
        <v>6770</v>
      </c>
      <c r="R39" s="78">
        <f t="shared" ref="R39" si="157">ROUND(S39/5,0)</f>
        <v>6770</v>
      </c>
      <c r="S39" s="79">
        <f t="shared" ref="S39" si="158">AB39-X39</f>
        <v>33850</v>
      </c>
      <c r="T39" s="80">
        <f t="shared" ref="T39" si="159">V39-(U39*8)</f>
        <v>4556</v>
      </c>
      <c r="U39" s="80">
        <f t="shared" si="48"/>
        <v>4556</v>
      </c>
      <c r="V39" s="81">
        <f t="shared" ref="V39" si="160">AC39-X39</f>
        <v>41004</v>
      </c>
      <c r="W39" s="42"/>
      <c r="Y39" s="99">
        <f>M39/M22*100</f>
        <v>83.69136227584562</v>
      </c>
      <c r="Z39" s="83">
        <f t="shared" si="50"/>
        <v>31596</v>
      </c>
      <c r="AA39" s="107">
        <v>31596</v>
      </c>
      <c r="AB39" s="107">
        <v>33850</v>
      </c>
      <c r="AC39" s="107">
        <v>41004</v>
      </c>
      <c r="AD39" s="67"/>
      <c r="AE39" s="7"/>
      <c r="AF39" s="7">
        <v>8511191200</v>
      </c>
      <c r="AG39" s="61" t="s">
        <v>98</v>
      </c>
      <c r="AH39" s="18"/>
      <c r="AJ39" s="58">
        <v>29610</v>
      </c>
      <c r="AK39" s="58">
        <v>29610</v>
      </c>
      <c r="AL39" s="117">
        <v>29610</v>
      </c>
      <c r="AM39" s="76">
        <v>31535</v>
      </c>
      <c r="AN39" s="76">
        <v>36810</v>
      </c>
      <c r="AP39" s="74">
        <f t="shared" ref="AP39" si="161">K39/AJ39-1</f>
        <v>6.7071935157041462E-2</v>
      </c>
      <c r="AQ39" s="74">
        <f t="shared" ref="AQ39" si="162">M39/AK39-1</f>
        <v>6.7071935157041462E-2</v>
      </c>
      <c r="AR39" s="74">
        <f t="shared" ref="AR39" si="163">P39/AL39-1</f>
        <v>6.7071935157041462E-2</v>
      </c>
      <c r="AS39" s="74">
        <f t="shared" ref="AS39" si="164">S39/AM39-1</f>
        <v>7.3410496273981218E-2</v>
      </c>
      <c r="AT39" s="74">
        <f t="shared" ref="AT39" si="165">V39/AN39-1</f>
        <v>0.1139364303178485</v>
      </c>
    </row>
    <row r="40" spans="1:46" ht="18.75" x14ac:dyDescent="0.3">
      <c r="B40" s="2"/>
      <c r="C40" s="2"/>
      <c r="D40" s="9" t="s">
        <v>116</v>
      </c>
      <c r="E40" s="3"/>
      <c r="F40" s="4"/>
      <c r="G40" s="10"/>
      <c r="H40" s="6"/>
      <c r="I40" s="10"/>
      <c r="J40" s="6"/>
      <c r="K40" s="6"/>
      <c r="L40" s="5"/>
      <c r="M40" s="5"/>
      <c r="N40" s="5"/>
      <c r="O40" s="5"/>
      <c r="P40" s="5"/>
      <c r="Q40" s="56"/>
      <c r="R40" s="56"/>
      <c r="S40" s="5"/>
      <c r="T40" s="5"/>
      <c r="U40" s="5"/>
      <c r="V40" s="5"/>
      <c r="W40" s="42"/>
      <c r="Y40" s="101"/>
      <c r="Z40" s="122"/>
      <c r="AA40" s="123"/>
      <c r="AB40" s="123"/>
      <c r="AC40" s="123"/>
      <c r="AD40" s="67"/>
      <c r="AE40" s="119"/>
      <c r="AF40" s="119"/>
      <c r="AG40" s="120"/>
      <c r="AH40" s="18"/>
      <c r="AJ40" s="121"/>
      <c r="AK40" s="121"/>
      <c r="AL40" s="121"/>
      <c r="AM40" s="122"/>
      <c r="AN40" s="122"/>
      <c r="AP40" s="74"/>
      <c r="AQ40" s="74"/>
      <c r="AR40" s="74"/>
      <c r="AS40" s="74"/>
      <c r="AT40" s="74"/>
    </row>
    <row r="41" spans="1:46" ht="18.75" x14ac:dyDescent="0.3">
      <c r="B41" s="124"/>
      <c r="C41" s="32">
        <v>9217071100</v>
      </c>
      <c r="D41" s="35" t="s">
        <v>117</v>
      </c>
      <c r="E41" s="104"/>
      <c r="F41" s="49"/>
      <c r="G41" s="96"/>
      <c r="H41" s="97"/>
      <c r="I41" s="96"/>
      <c r="J41" s="97"/>
      <c r="K41" s="58">
        <f t="shared" ref="K41:K42" si="166">Z41</f>
        <v>76488</v>
      </c>
      <c r="L41" s="59"/>
      <c r="M41" s="58">
        <f t="shared" ref="M41:M43" si="167">P41</f>
        <v>76488</v>
      </c>
      <c r="N41" s="78">
        <f t="shared" ref="N41:N43" si="168">P41-(O41*2)</f>
        <v>25496</v>
      </c>
      <c r="O41" s="78">
        <f t="shared" ref="O41:O43" si="169">ROUND(P41/3,0)</f>
        <v>25496</v>
      </c>
      <c r="P41" s="79">
        <f t="shared" ref="P41:P43" si="170">AA41-X41</f>
        <v>76488</v>
      </c>
      <c r="Q41" s="78">
        <f t="shared" ref="Q41:Q43" si="171">S41-(R41*4)</f>
        <v>16382</v>
      </c>
      <c r="R41" s="78">
        <f t="shared" ref="R41:R43" si="172">ROUND(S41/5,0)</f>
        <v>16382</v>
      </c>
      <c r="S41" s="79">
        <f t="shared" ref="S41:S43" si="173">AB41-X41</f>
        <v>81910</v>
      </c>
      <c r="T41" s="80">
        <f t="shared" ref="T41:T43" si="174">V41-(U41*8)</f>
        <v>11013</v>
      </c>
      <c r="U41" s="80">
        <f t="shared" ref="U41:U43" si="175">ROUND(V41/9,0)</f>
        <v>11013</v>
      </c>
      <c r="V41" s="79">
        <f t="shared" ref="V41:V43" si="176">AC41-X41</f>
        <v>99117</v>
      </c>
      <c r="W41" s="42"/>
      <c r="Y41" s="101"/>
      <c r="Z41" s="83">
        <f t="shared" si="50"/>
        <v>76488</v>
      </c>
      <c r="AA41" s="107">
        <v>76488</v>
      </c>
      <c r="AB41" s="107">
        <v>81910</v>
      </c>
      <c r="AC41" s="107">
        <v>99117</v>
      </c>
      <c r="AD41" s="67"/>
      <c r="AE41" s="119"/>
      <c r="AF41" s="119"/>
      <c r="AG41" s="120"/>
      <c r="AH41" s="18"/>
      <c r="AJ41" s="121">
        <v>71721</v>
      </c>
      <c r="AK41" s="121">
        <v>71721</v>
      </c>
      <c r="AL41" s="121">
        <v>71721</v>
      </c>
      <c r="AM41" s="122">
        <v>76360</v>
      </c>
      <c r="AN41" s="122">
        <v>89091</v>
      </c>
      <c r="AP41" s="74">
        <f t="shared" ref="AP41:AP43" si="177">K41/AJ41-1</f>
        <v>6.6465888651859206E-2</v>
      </c>
      <c r="AQ41" s="74">
        <f t="shared" ref="AQ41:AQ43" si="178">M41/AK41-1</f>
        <v>6.6465888651859206E-2</v>
      </c>
      <c r="AR41" s="74">
        <f t="shared" ref="AR41:AR43" si="179">P41/AL41-1</f>
        <v>6.6465888651859206E-2</v>
      </c>
      <c r="AS41" s="74">
        <f t="shared" ref="AS41:AS43" si="180">S41/AM41-1</f>
        <v>7.268203247773708E-2</v>
      </c>
      <c r="AT41" s="74">
        <f t="shared" ref="AT41:AT43" si="181">V41/AN41-1</f>
        <v>0.11253661986059194</v>
      </c>
    </row>
    <row r="42" spans="1:46" ht="18.75" x14ac:dyDescent="0.3">
      <c r="B42" s="124"/>
      <c r="C42" s="32">
        <v>9217091100</v>
      </c>
      <c r="D42" s="125" t="s">
        <v>118</v>
      </c>
      <c r="E42" s="104"/>
      <c r="F42" s="49"/>
      <c r="G42" s="96"/>
      <c r="H42" s="97"/>
      <c r="I42" s="96"/>
      <c r="J42" s="97"/>
      <c r="K42" s="58">
        <f t="shared" si="166"/>
        <v>91833</v>
      </c>
      <c r="L42" s="59"/>
      <c r="M42" s="58">
        <f t="shared" si="167"/>
        <v>91833</v>
      </c>
      <c r="N42" s="78">
        <f t="shared" si="168"/>
        <v>30611</v>
      </c>
      <c r="O42" s="78">
        <f t="shared" si="169"/>
        <v>30611</v>
      </c>
      <c r="P42" s="79">
        <f t="shared" si="170"/>
        <v>91833</v>
      </c>
      <c r="Q42" s="78">
        <f t="shared" si="171"/>
        <v>19666</v>
      </c>
      <c r="R42" s="78">
        <f t="shared" si="172"/>
        <v>19666</v>
      </c>
      <c r="S42" s="79">
        <f t="shared" si="173"/>
        <v>98330</v>
      </c>
      <c r="T42" s="80">
        <f t="shared" si="174"/>
        <v>13221</v>
      </c>
      <c r="U42" s="80">
        <f t="shared" si="175"/>
        <v>13221</v>
      </c>
      <c r="V42" s="79">
        <f t="shared" si="176"/>
        <v>118989</v>
      </c>
      <c r="W42" s="42"/>
      <c r="Y42" s="101"/>
      <c r="Z42" s="83">
        <f t="shared" si="50"/>
        <v>91833</v>
      </c>
      <c r="AA42" s="107">
        <v>91833</v>
      </c>
      <c r="AB42" s="107">
        <v>98330</v>
      </c>
      <c r="AC42" s="107">
        <v>118989</v>
      </c>
      <c r="AD42" s="67"/>
      <c r="AE42" s="119"/>
      <c r="AF42" s="119"/>
      <c r="AG42" s="120"/>
      <c r="AH42" s="18"/>
      <c r="AJ42" s="121">
        <v>86109</v>
      </c>
      <c r="AK42" s="121">
        <v>86109</v>
      </c>
      <c r="AL42" s="121">
        <v>86109</v>
      </c>
      <c r="AM42" s="122">
        <v>91670</v>
      </c>
      <c r="AN42" s="122">
        <v>106947</v>
      </c>
      <c r="AP42" s="74">
        <f t="shared" si="177"/>
        <v>6.6473887746925309E-2</v>
      </c>
      <c r="AQ42" s="74">
        <f t="shared" si="178"/>
        <v>6.6473887746925309E-2</v>
      </c>
      <c r="AR42" s="74">
        <f t="shared" si="179"/>
        <v>6.6473887746925309E-2</v>
      </c>
      <c r="AS42" s="74">
        <f t="shared" si="180"/>
        <v>7.2651903567142906E-2</v>
      </c>
      <c r="AT42" s="74">
        <f t="shared" si="181"/>
        <v>0.11259782883110336</v>
      </c>
    </row>
    <row r="43" spans="1:46" ht="18.75" x14ac:dyDescent="0.3">
      <c r="B43" s="124"/>
      <c r="C43" s="7">
        <v>9217111100</v>
      </c>
      <c r="D43" s="126" t="s">
        <v>119</v>
      </c>
      <c r="E43" s="48"/>
      <c r="F43" s="49"/>
      <c r="G43" s="50"/>
      <c r="H43" s="51"/>
      <c r="I43" s="50"/>
      <c r="J43" s="51"/>
      <c r="K43" s="58">
        <f>Z43</f>
        <v>104286</v>
      </c>
      <c r="L43" s="59"/>
      <c r="M43" s="58">
        <f t="shared" si="167"/>
        <v>104286</v>
      </c>
      <c r="N43" s="78">
        <f t="shared" si="168"/>
        <v>34762</v>
      </c>
      <c r="O43" s="78">
        <f t="shared" si="169"/>
        <v>34762</v>
      </c>
      <c r="P43" s="79">
        <f t="shared" si="170"/>
        <v>104286</v>
      </c>
      <c r="Q43" s="78">
        <f t="shared" si="171"/>
        <v>22333</v>
      </c>
      <c r="R43" s="78">
        <f t="shared" si="172"/>
        <v>22333</v>
      </c>
      <c r="S43" s="79">
        <f t="shared" si="173"/>
        <v>111665</v>
      </c>
      <c r="T43" s="80">
        <f t="shared" si="174"/>
        <v>15014</v>
      </c>
      <c r="U43" s="80">
        <f t="shared" si="175"/>
        <v>15014</v>
      </c>
      <c r="V43" s="79">
        <f t="shared" si="176"/>
        <v>135126</v>
      </c>
      <c r="W43" s="42"/>
      <c r="Y43" s="101"/>
      <c r="Z43" s="83">
        <f t="shared" si="50"/>
        <v>104286</v>
      </c>
      <c r="AA43" s="107">
        <v>104286</v>
      </c>
      <c r="AB43" s="107">
        <v>111665</v>
      </c>
      <c r="AC43" s="107">
        <v>135126</v>
      </c>
      <c r="AD43" s="67"/>
      <c r="AE43" s="119"/>
      <c r="AF43" s="119"/>
      <c r="AG43" s="120"/>
      <c r="AH43" s="18"/>
      <c r="AJ43" s="121">
        <v>97785</v>
      </c>
      <c r="AK43" s="121">
        <v>97785</v>
      </c>
      <c r="AL43" s="121">
        <v>97785</v>
      </c>
      <c r="AM43" s="122">
        <v>104105</v>
      </c>
      <c r="AN43" s="122">
        <v>121455</v>
      </c>
      <c r="AP43" s="74">
        <f t="shared" si="177"/>
        <v>6.6482589354195376E-2</v>
      </c>
      <c r="AQ43" s="74">
        <f t="shared" si="178"/>
        <v>6.6482589354195376E-2</v>
      </c>
      <c r="AR43" s="74">
        <f t="shared" si="179"/>
        <v>6.6482589354195376E-2</v>
      </c>
      <c r="AS43" s="74">
        <f t="shared" si="180"/>
        <v>7.2618990442341769E-2</v>
      </c>
      <c r="AT43" s="74">
        <f t="shared" si="181"/>
        <v>0.11256020748425333</v>
      </c>
    </row>
    <row r="44" spans="1:46" ht="18.75" x14ac:dyDescent="0.3">
      <c r="D44" t="s">
        <v>18</v>
      </c>
      <c r="K44" s="12"/>
      <c r="L44" s="12"/>
      <c r="M44" s="12"/>
      <c r="N44" s="12"/>
      <c r="O44" s="12"/>
      <c r="P44" s="12"/>
      <c r="W44" s="42"/>
      <c r="AQ44" s="26"/>
      <c r="AR44" s="26"/>
      <c r="AS44" s="26"/>
    </row>
    <row r="45" spans="1:46" ht="18.75" x14ac:dyDescent="0.3">
      <c r="K45" s="113"/>
      <c r="L45" s="12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AA45" s="114"/>
      <c r="AB45" s="114"/>
      <c r="AC45" s="114"/>
      <c r="AM45"/>
      <c r="AN45"/>
      <c r="AQ45" s="26"/>
      <c r="AR45" s="26"/>
      <c r="AS45" s="26"/>
    </row>
    <row r="46" spans="1:46" ht="18.75" x14ac:dyDescent="0.3">
      <c r="K46" s="113"/>
      <c r="L46" s="12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AA46" s="115"/>
      <c r="AB46" s="115"/>
      <c r="AC46" s="115"/>
      <c r="AM46"/>
      <c r="AN46"/>
      <c r="AQ46" s="26"/>
      <c r="AR46" s="26"/>
      <c r="AS46" s="26"/>
    </row>
    <row r="47" spans="1:46" x14ac:dyDescent="0.25">
      <c r="D47" s="11"/>
      <c r="K47" s="113"/>
      <c r="L47" s="12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AA47" s="115"/>
      <c r="AB47" s="115"/>
      <c r="AC47" s="115"/>
      <c r="AM47"/>
      <c r="AN47"/>
    </row>
    <row r="48" spans="1:46" x14ac:dyDescent="0.25">
      <c r="D48" s="11"/>
      <c r="K48" s="113"/>
      <c r="L48" s="12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AA48" s="115"/>
      <c r="AB48" s="115"/>
      <c r="AC48" s="115"/>
      <c r="AM48"/>
      <c r="AN48"/>
    </row>
    <row r="49" spans="4:4" x14ac:dyDescent="0.25">
      <c r="D49" s="11"/>
    </row>
    <row r="50" spans="4:4" x14ac:dyDescent="0.25">
      <c r="D50" s="11"/>
    </row>
  </sheetData>
  <mergeCells count="27">
    <mergeCell ref="L3:L4"/>
    <mergeCell ref="M3:M4"/>
    <mergeCell ref="N3:P3"/>
    <mergeCell ref="AL3:AL4"/>
    <mergeCell ref="AJ3:AJ4"/>
    <mergeCell ref="AK3:AK4"/>
    <mergeCell ref="Z1:AC1"/>
    <mergeCell ref="AJ2:AN2"/>
    <mergeCell ref="AN3:AN4"/>
    <mergeCell ref="AP3:AP4"/>
    <mergeCell ref="AQ3:AQ4"/>
    <mergeCell ref="AS3:AS4"/>
    <mergeCell ref="AT3:AT4"/>
    <mergeCell ref="AM3:AM4"/>
    <mergeCell ref="AG3:AG4"/>
    <mergeCell ref="Q3:S3"/>
    <mergeCell ref="T3:V3"/>
    <mergeCell ref="Z3:Z4"/>
    <mergeCell ref="AA3:AA4"/>
    <mergeCell ref="AB3:AB4"/>
    <mergeCell ref="AC3:AC4"/>
    <mergeCell ref="AR3:AR4"/>
    <mergeCell ref="D3:D4"/>
    <mergeCell ref="E3:F4"/>
    <mergeCell ref="G3:H3"/>
    <mergeCell ref="I3:J3"/>
    <mergeCell ref="K3:K4"/>
  </mergeCells>
  <pageMargins left="0.7" right="0.7" top="0.75" bottom="0.75" header="0.3" footer="0.3"/>
  <customProperties>
    <customPr name="_pios_id" r:id="rId1"/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C5FD56A4F0B1C40B6229A2D1AD619C2" ma:contentTypeVersion="11" ma:contentTypeDescription="Yeni belge oluşturun." ma:contentTypeScope="" ma:versionID="c003652dff7d002b7847c7f5796dbd71">
  <xsd:schema xmlns:xsd="http://www.w3.org/2001/XMLSchema" xmlns:xs="http://www.w3.org/2001/XMLSchema" xmlns:p="http://schemas.microsoft.com/office/2006/metadata/properties" xmlns:ns3="459b4035-a765-49e1-b696-bd3d9a40dc03" xmlns:ns4="5bb1e88e-5dbe-4ebc-962d-b544d6793676" targetNamespace="http://schemas.microsoft.com/office/2006/metadata/properties" ma:root="true" ma:fieldsID="7a052aefb127576ca04ca82b7733b3bd" ns3:_="" ns4:_="">
    <xsd:import namespace="459b4035-a765-49e1-b696-bd3d9a40dc03"/>
    <xsd:import namespace="5bb1e88e-5dbe-4ebc-962d-b544d67936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4035-a765-49e1-b696-bd3d9a40dc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e88e-5dbe-4ebc-962d-b544d6793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C1439-ED5A-4872-B8AB-C817AF394E20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459b4035-a765-49e1-b696-bd3d9a40dc03"/>
    <ds:schemaRef ds:uri="5bb1e88e-5dbe-4ebc-962d-b544d679367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495413-A5A7-4C87-94D5-1578E486F3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DA4B3A-ECE5-413C-8246-7BE32C1C8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b4035-a765-49e1-b696-bd3d9a40dc03"/>
    <ds:schemaRef ds:uri="5bb1e88e-5dbe-4ebc-962d-b544d6793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TOPTANOK</vt:lpstr>
      <vt:lpstr>PERAKENDEOK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nart kansat</cp:lastModifiedBy>
  <cp:lastPrinted>2022-10-26T06:29:15Z</cp:lastPrinted>
  <dcterms:created xsi:type="dcterms:W3CDTF">2018-09-28T04:27:22Z</dcterms:created>
  <dcterms:modified xsi:type="dcterms:W3CDTF">2026-04-01T11:24:24Z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0x010100FC5FD56A4F0B1C40B6229A2D1AD619C2</vt:lpwstr>
  </property>
  <property fmtid="{D5CDD505-2E9C-101B-9397-08002B2CF9AE}" pid="3" name="MSIP_Label_18de4db4-e00d-47c3-9d58-42953a01c92d_Enabled">
    <vt:lpwstr>true</vt:lpwstr>
  </property>
  <property fmtid="{D5CDD505-2E9C-101B-9397-08002B2CF9AE}" pid="4" name="MSIP_Label_18de4db4-e00d-47c3-9d58-42953a01c92d_SetDate">
    <vt:lpwstr>2024-07-24T07:08:56Z</vt:lpwstr>
  </property>
  <property fmtid="{D5CDD505-2E9C-101B-9397-08002B2CF9AE}" pid="5" name="MSIP_Label_18de4db4-e00d-47c3-9d58-42953a01c92d_Method">
    <vt:lpwstr>Standard</vt:lpwstr>
  </property>
  <property fmtid="{D5CDD505-2E9C-101B-9397-08002B2CF9AE}" pid="6" name="MSIP_Label_18de4db4-e00d-47c3-9d58-42953a01c92d_Name">
    <vt:lpwstr>18de4db4-e00d-47c3-9d58-42953a01c92d</vt:lpwstr>
  </property>
  <property fmtid="{D5CDD505-2E9C-101B-9397-08002B2CF9AE}" pid="7" name="MSIP_Label_18de4db4-e00d-47c3-9d58-42953a01c92d_SiteId">
    <vt:lpwstr>ef5926db-9bdf-4f9f-9066-d8e7f03943f7</vt:lpwstr>
  </property>
  <property fmtid="{D5CDD505-2E9C-101B-9397-08002B2CF9AE}" pid="8" name="MSIP_Label_18de4db4-e00d-47c3-9d58-42953a01c92d_ActionId">
    <vt:lpwstr>7664d372-7206-441d-af47-1853db0dd1ae</vt:lpwstr>
  </property>
  <property fmtid="{D5CDD505-2E9C-101B-9397-08002B2CF9AE}" pid="9" name="MSIP_Label_18de4db4-e00d-47c3-9d58-42953a01c92d_ContentBits">
    <vt:lpwstr>2</vt:lpwstr>
  </property>
</Properties>
</file>